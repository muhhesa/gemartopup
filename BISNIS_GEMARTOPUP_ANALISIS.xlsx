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UNDAWN INDOFLAZ" sheetId="2" state="visible" r:id="rId4"/>
    <sheet name="UNDAWN OURA STORE" sheetId="3" state="visible" r:id="rId5"/>
    <sheet name="League of Legend Wild drift IND" sheetId="4" state="visible" r:id="rId6"/>
    <sheet name="AOV INDOFLAZ" sheetId="5" state="visible" r:id="rId7"/>
    <sheet name="AOV OURA STORE" sheetId="6" state="visible" r:id="rId8"/>
    <sheet name="Harry Potter Magic Awakened IND" sheetId="7" state="visible" r:id="rId9"/>
    <sheet name="Harry Potter Magic Awakened OUR" sheetId="8" state="visible" r:id="rId10"/>
    <sheet name="HAGO INDOFLAZ" sheetId="9" state="visible" r:id="rId11"/>
    <sheet name="Call Of Duty Mobile INDOFLAZ" sheetId="10" state="visible" r:id="rId12"/>
    <sheet name="Call Of Duty Mobile OURA STORE" sheetId="11" state="visible" r:id="rId13"/>
    <sheet name="Honkai  Star Rail INDOFLAZ" sheetId="12" state="visible" r:id="rId14"/>
    <sheet name="Honkai  Star Rail OURA STORE" sheetId="13" state="visible" r:id="rId15"/>
    <sheet name="League of Legend Wild drift OUR" sheetId="14" state="visible" r:id="rId16"/>
    <sheet name="MLBB INDOFLAZ" sheetId="15" state="visible" r:id="rId17"/>
    <sheet name="MLBB OURA STORE" sheetId="16" state="visible" r:id="rId18"/>
    <sheet name="MLBB EMPESHOP" sheetId="17" state="visible" r:id="rId19"/>
    <sheet name="FF INDOFLAZ" sheetId="18" state="visible" r:id="rId20"/>
    <sheet name="FF OURA STORE" sheetId="19" state="visible" r:id="rId21"/>
    <sheet name="FF EMPE SHOP" sheetId="20" state="visible" r:id="rId22"/>
    <sheet name="PUBG OURA STORE" sheetId="21" state="visible" r:id="rId23"/>
    <sheet name="PUBG INDOFLAZ" sheetId="22" state="visible" r:id="rId24"/>
    <sheet name="PUBG EMPESHOP" sheetId="23" state="visible" r:id="rId25"/>
    <sheet name="VALO INDOFLAZZ" sheetId="24" state="visible" r:id="rId26"/>
    <sheet name="VALO OURA STORE" sheetId="25" state="visible" r:id="rId27"/>
    <sheet name="Point Blank Indoflaz" sheetId="26" state="visible" r:id="rId28"/>
    <sheet name="PointBlank OURA STORE" sheetId="27" state="visible" r:id="rId29"/>
    <sheet name="VALO VOUCHER INDOFLAZ" sheetId="28" state="visible" r:id="rId30"/>
    <sheet name="Google Play Gift Card INDOFLAZ" sheetId="29" state="visible" r:id="rId31"/>
    <sheet name="Google Play Us Region INDOFLAZ" sheetId="30" state="visible" r:id="rId32"/>
    <sheet name="Google Play Gift Card OURA STOR" sheetId="31" state="visible" r:id="rId33"/>
    <sheet name="iTunes INDOFLAZ" sheetId="32" state="visible" r:id="rId34"/>
    <sheet name="Steam Wallet  INDOFLAZ" sheetId="33" state="visible" r:id="rId35"/>
    <sheet name="Steam Wallet OURA STORE" sheetId="34" state="visible" r:id="rId36"/>
    <sheet name="Spotify Premium Subscription Vo" sheetId="35" state="visible" r:id="rId37"/>
    <sheet name="Nintendo Eshop" sheetId="36" state="visible" r:id="rId38"/>
    <sheet name="Vidio INDOFLAZ" sheetId="37" state="visible" r:id="rId39"/>
    <sheet name="Vidio OURA STORE" sheetId="38" state="visible" r:id="rId40"/>
    <sheet name="Xbox Indoflaz" sheetId="39" state="visible" r:id="rId41"/>
    <sheet name="Hotelmurah INDOLAZ" sheetId="40" state="visible" r:id="rId42"/>
    <sheet name="Gontak Whatsapp dan SMS Gateway" sheetId="41" state="visible" r:id="rId43"/>
    <sheet name="PLN INDOFLAZ" sheetId="42" state="visible" r:id="rId44"/>
    <sheet name="Pulsa Telkomsel INDOFLAZ" sheetId="43" state="visible" r:id="rId45"/>
    <sheet name="Pulsa Telkomsel OURA STORE" sheetId="44" state="visible" r:id="rId46"/>
    <sheet name="byU INDOFLAZ" sheetId="45" state="visible" r:id="rId47"/>
    <sheet name="Indosat INDOFLAZ" sheetId="46" state="visible" r:id="rId48"/>
    <sheet name="Indosat OURA STORE" sheetId="47" state="visible" r:id="rId49"/>
    <sheet name="Axis INDOFLAZ" sheetId="48" state="visible" r:id="rId50"/>
    <sheet name="Axis OURASTORE" sheetId="49" state="visible" r:id="rId51"/>
    <sheet name="XL INDOFLAZ" sheetId="50" state="visible" r:id="rId52"/>
    <sheet name="XL OURASTORE" sheetId="51" state="visible" r:id="rId53"/>
    <sheet name="TRI INDOFLAZ" sheetId="52" state="visible" r:id="rId54"/>
    <sheet name="SMARTFREN INDOFLAZ" sheetId="53" state="visible" r:id="rId55"/>
    <sheet name="SMARTFREN OURASTORE" sheetId="54" state="visible" r:id="rId56"/>
    <sheet name="Analisis Detail" sheetId="55" state="visible" r:id="rId57"/>
    <sheet name="Catatan &amp; Asumsi" sheetId="56" state="visible" r:id="rId5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<sst xmlns="http://schemas.openxmlformats.org/spreadsheetml/2006/main" count="5537" uniqueCount="2664">
  <si>
    <t xml:space="preserve">DASHBOARD ANALISIS HARGA — GEMARTOPUP</t>
  </si>
  <si>
    <t xml:space="preserve">Perbandingan modal Indoflaz (Silver/Gold) vs harga kompetitor (Oura Store, Empeshop) &amp; rekomendasi harga jual</t>
  </si>
  <si>
    <t xml:space="preserve">Total Produk Aktif</t>
  </si>
  <si>
    <t xml:space="preserve">Produk dengan Data Kompetitor</t>
  </si>
  <si>
    <t xml:space="preserve">Produk Tanpa Kompetitor (Direct Pricing)</t>
  </si>
  <si>
    <t xml:space="preserve">Rata-rata Margin vs Kompetitor Termurah</t>
  </si>
  <si>
    <t xml:space="preserve">Rata-rata Margin Rekomendasi (semua produk)</t>
  </si>
  <si>
    <t xml:space="preserve">RINGKASAN PER KATEGORI</t>
  </si>
  <si>
    <t xml:space="preserve">Kategori (Sheet Modal)</t>
  </si>
  <si>
    <t xml:space="preserve">Jumlah Produk</t>
  </si>
  <si>
    <t xml:space="preserve">Ada Kompetitor</t>
  </si>
  <si>
    <t xml:space="preserve">Tanpa Kompetitor</t>
  </si>
  <si>
    <t xml:space="preserve">Rata2 Margin vs Kompetitor</t>
  </si>
  <si>
    <t xml:space="preserve">Rata2 Margin Rekomendasi</t>
  </si>
  <si>
    <t xml:space="preserve">UNDAWN INDOFLAZ</t>
  </si>
  <si>
    <t xml:space="preserve">League of Legend Wild drift IND</t>
  </si>
  <si>
    <t xml:space="preserve">AOV INDOFLAZ</t>
  </si>
  <si>
    <t xml:space="preserve">Harry Potter Magic Awakened IND</t>
  </si>
  <si>
    <t xml:space="preserve">HAGO INDOFLAZ</t>
  </si>
  <si>
    <t xml:space="preserve">Call Of Duty Mobile INDOFLAZ</t>
  </si>
  <si>
    <t xml:space="preserve">Honkai  Star Rail INDOFLAZ</t>
  </si>
  <si>
    <t xml:space="preserve">MLBB INDOFLAZ</t>
  </si>
  <si>
    <t xml:space="preserve">FF INDOFLAZ</t>
  </si>
  <si>
    <t xml:space="preserve">PUBG INDOFLAZ</t>
  </si>
  <si>
    <t xml:space="preserve">VALO INDOFLAZZ</t>
  </si>
  <si>
    <t xml:space="preserve">Point Blank Indoflaz</t>
  </si>
  <si>
    <t xml:space="preserve">VALO VOUCHER INDOFLAZ</t>
  </si>
  <si>
    <t xml:space="preserve">Google Play Gift Card INDOFLAZ</t>
  </si>
  <si>
    <t xml:space="preserve">Google Play Us Region INDOFLAZ</t>
  </si>
  <si>
    <t xml:space="preserve">iTunes INDOFLAZ</t>
  </si>
  <si>
    <t xml:space="preserve">Steam Wallet  INDOFLAZ</t>
  </si>
  <si>
    <t xml:space="preserve">Spotify Premium Subscription Vo</t>
  </si>
  <si>
    <t xml:space="preserve">Nintendo Eshop</t>
  </si>
  <si>
    <t xml:space="preserve">Vidio INDOFLAZ</t>
  </si>
  <si>
    <t xml:space="preserve">Xbox Indoflaz</t>
  </si>
  <si>
    <t xml:space="preserve">Hotelmurah INDOLAZ</t>
  </si>
  <si>
    <t xml:space="preserve">Gontak Whatsapp dan SMS Gateway</t>
  </si>
  <si>
    <t xml:space="preserve">PLN INDOFLAZ</t>
  </si>
  <si>
    <t xml:space="preserve">Pulsa Telkomsel INDOFLAZ</t>
  </si>
  <si>
    <t xml:space="preserve">byU INDOFLAZ</t>
  </si>
  <si>
    <t xml:space="preserve">Indosat INDOFLAZ</t>
  </si>
  <si>
    <t xml:space="preserve">Axis INDOFLAZ</t>
  </si>
  <si>
    <t xml:space="preserve">XL INDOFLAZ</t>
  </si>
  <si>
    <t xml:space="preserve">TRI INDOFLAZ</t>
  </si>
  <si>
    <t xml:space="preserve">SMARTFREN INDOFLAZ</t>
  </si>
  <si>
    <t xml:space="preserve">PID</t>
  </si>
  <si>
    <t xml:space="preserve">KATEGORI</t>
  </si>
  <si>
    <t xml:space="preserve">LAYANAN</t>
  </si>
  <si>
    <t xml:space="preserve">HARGA</t>
  </si>
  <si>
    <t xml:space="preserve">HARGA SILVER</t>
  </si>
  <si>
    <t xml:space="preserve">HARGA GOLD</t>
  </si>
  <si>
    <t xml:space="preserve">HARGA PRO</t>
  </si>
  <si>
    <t xml:space="preserve">STATUS</t>
  </si>
  <si>
    <t xml:space="preserve">GU80-S11</t>
  </si>
  <si>
    <t xml:space="preserve">Garena Undawn</t>
  </si>
  <si>
    <t xml:space="preserve">RC 80</t>
  </si>
  <si>
    <t xml:space="preserve">Rp. 14.100</t>
  </si>
  <si>
    <t xml:space="preserve">Rp. 13.818</t>
  </si>
  <si>
    <t xml:space="preserve">Rp. 13.684</t>
  </si>
  <si>
    <t xml:space="preserve">Rp. 13.550</t>
  </si>
  <si>
    <t xml:space="preserve">Aktif</t>
  </si>
  <si>
    <t xml:space="preserve">GU250-S11</t>
  </si>
  <si>
    <t xml:space="preserve">RC 250</t>
  </si>
  <si>
    <t xml:space="preserve">Rp. 42.300</t>
  </si>
  <si>
    <t xml:space="preserve">Rp. 41.049</t>
  </si>
  <si>
    <t xml:space="preserve">Rp. 40.647</t>
  </si>
  <si>
    <t xml:space="preserve">GU450-S11</t>
  </si>
  <si>
    <t xml:space="preserve">RC 450</t>
  </si>
  <si>
    <t xml:space="preserve">Rp. 70.500</t>
  </si>
  <si>
    <t xml:space="preserve">Rp. 69.086</t>
  </si>
  <si>
    <t xml:space="preserve">Rp. 68.415</t>
  </si>
  <si>
    <t xml:space="preserve">Rp. 67.744</t>
  </si>
  <si>
    <t xml:space="preserve">GU920-S11</t>
  </si>
  <si>
    <t xml:space="preserve">RC 920</t>
  </si>
  <si>
    <t xml:space="preserve">Rp. 140.000</t>
  </si>
  <si>
    <t xml:space="preserve">Rp. 137.249</t>
  </si>
  <si>
    <t xml:space="preserve">Rp. 135.917</t>
  </si>
  <si>
    <t xml:space="preserve">Rp. 134.584</t>
  </si>
  <si>
    <t xml:space="preserve">GU1850-S11</t>
  </si>
  <si>
    <t xml:space="preserve">RC 1850</t>
  </si>
  <si>
    <t xml:space="preserve">Rp. 280.800</t>
  </si>
  <si>
    <t xml:space="preserve">Rp. 275.418</t>
  </si>
  <si>
    <t xml:space="preserve">Rp. 272.744</t>
  </si>
  <si>
    <t xml:space="preserve">Rp. 270.070</t>
  </si>
  <si>
    <t xml:space="preserve">GU2800-S11</t>
  </si>
  <si>
    <t xml:space="preserve">RC 2800</t>
  </si>
  <si>
    <t xml:space="preserve">Rp. 417.700</t>
  </si>
  <si>
    <t xml:space="preserve">Rp. 413.588</t>
  </si>
  <si>
    <t xml:space="preserve">Rp. 409.572</t>
  </si>
  <si>
    <t xml:space="preserve">Rp. 405.557</t>
  </si>
  <si>
    <t xml:space="preserve">GU4750-S11</t>
  </si>
  <si>
    <t xml:space="preserve">RC 4750</t>
  </si>
  <si>
    <t xml:space="preserve">Rp. 696.700</t>
  </si>
  <si>
    <t xml:space="preserve">Rp. 689.926</t>
  </si>
  <si>
    <t xml:space="preserve">Rp. 683.228</t>
  </si>
  <si>
    <t xml:space="preserve">Rp. 676.530</t>
  </si>
  <si>
    <t xml:space="preserve">GU9600-S11</t>
  </si>
  <si>
    <t xml:space="preserve">RC 9600</t>
  </si>
  <si>
    <t xml:space="preserve">Rp. 1.380.800</t>
  </si>
  <si>
    <t xml:space="preserve">Rp. 1.367.368</t>
  </si>
  <si>
    <t xml:space="preserve">Rp. 1.353.962</t>
  </si>
  <si>
    <t xml:space="preserve">Rp. 1.347.259</t>
  </si>
  <si>
    <t xml:space="preserve">GU33000-S11</t>
  </si>
  <si>
    <t xml:space="preserve">RC 33000</t>
  </si>
  <si>
    <t xml:space="preserve">Rp. 4.605.700</t>
  </si>
  <si>
    <t xml:space="preserve">Rp. 4.560.930</t>
  </si>
  <si>
    <t xml:space="preserve">Rp. 4.516.215</t>
  </si>
  <si>
    <t xml:space="preserve">Rp. 4.493.858</t>
  </si>
  <si>
    <t xml:space="preserve">GU66500-S11</t>
  </si>
  <si>
    <t xml:space="preserve">RC 66500</t>
  </si>
  <si>
    <t xml:space="preserve">Rp. 9.211.300</t>
  </si>
  <si>
    <t xml:space="preserve">Rp. 9.121.860</t>
  </si>
  <si>
    <t xml:space="preserve">Rp. 9.032.430</t>
  </si>
  <si>
    <t xml:space="preserve">Rp. 8.987.715</t>
  </si>
  <si>
    <t xml:space="preserve">Membership</t>
  </si>
  <si>
    <t xml:space="preserve">Select a variant list</t>
  </si>
  <si>
    <t xml:space="preserve">Ace Fund</t>
  </si>
  <si>
    <t xml:space="preserve">Top Up Instant</t>
  </si>
  <si>
    <t xml:space="preserve">LOL425-S10</t>
  </si>
  <si>
    <t xml:space="preserve">League of Legends Wild Rift</t>
  </si>
  <si>
    <t xml:space="preserve">425 Cores</t>
  </si>
  <si>
    <t xml:space="preserve">Rp. 53.700</t>
  </si>
  <si>
    <t xml:space="preserve">Rp. 53.172</t>
  </si>
  <si>
    <t xml:space="preserve">Rp. 52.656</t>
  </si>
  <si>
    <t xml:space="preserve">Rp. 52.140</t>
  </si>
  <si>
    <t xml:space="preserve">LOL1000-S10</t>
  </si>
  <si>
    <t xml:space="preserve">1000 Cores</t>
  </si>
  <si>
    <t xml:space="preserve">Rp. 119.900</t>
  </si>
  <si>
    <t xml:space="preserve">Rp. 118.687</t>
  </si>
  <si>
    <t xml:space="preserve">Rp. 117.535</t>
  </si>
  <si>
    <t xml:space="preserve">Rp. 116.383</t>
  </si>
  <si>
    <t xml:space="preserve">LOL1850-S10</t>
  </si>
  <si>
    <t xml:space="preserve">1850 Cores</t>
  </si>
  <si>
    <t xml:space="preserve">Rp. 215.800</t>
  </si>
  <si>
    <t xml:space="preserve">Rp. 213.637</t>
  </si>
  <si>
    <t xml:space="preserve">Rp. 211.563</t>
  </si>
  <si>
    <t xml:space="preserve">Rp. 209.489</t>
  </si>
  <si>
    <t xml:space="preserve">LOL3275-S10</t>
  </si>
  <si>
    <t xml:space="preserve">3275 Cores</t>
  </si>
  <si>
    <t xml:space="preserve">Rp. 378.700</t>
  </si>
  <si>
    <t xml:space="preserve">Rp. 375.051</t>
  </si>
  <si>
    <t xml:space="preserve">Rp. 371.410</t>
  </si>
  <si>
    <t xml:space="preserve">Rp. 367.769</t>
  </si>
  <si>
    <t xml:space="preserve">LOL4800-S10</t>
  </si>
  <si>
    <t xml:space="preserve">4800 Cores</t>
  </si>
  <si>
    <t xml:space="preserve">Rp. 541.700</t>
  </si>
  <si>
    <t xml:space="preserve">Rp. 536.466</t>
  </si>
  <si>
    <t xml:space="preserve">Rp. 531.257</t>
  </si>
  <si>
    <t xml:space="preserve">Rp. 526.049</t>
  </si>
  <si>
    <t xml:space="preserve">LOL10000-S10</t>
  </si>
  <si>
    <t xml:space="preserve">10000 Cores</t>
  </si>
  <si>
    <t xml:space="preserve">Rp. 1.082.400</t>
  </si>
  <si>
    <t xml:space="preserve">Rp. 1.071.980</t>
  </si>
  <si>
    <t xml:space="preserve">Rp. 1.061.573</t>
  </si>
  <si>
    <t xml:space="preserve">Rp. 1.051.165</t>
  </si>
  <si>
    <t xml:space="preserve">AOV40-S11</t>
  </si>
  <si>
    <t xml:space="preserve">Arena Of Valor</t>
  </si>
  <si>
    <t xml:space="preserve">40 Vouchers</t>
  </si>
  <si>
    <t xml:space="preserve">Rp. 9.600</t>
  </si>
  <si>
    <t xml:space="preserve">Rp. 9.464</t>
  </si>
  <si>
    <t xml:space="preserve">Rp. 9.373</t>
  </si>
  <si>
    <t xml:space="preserve">Rp. 9.282</t>
  </si>
  <si>
    <t xml:space="preserve">AOV90-S11</t>
  </si>
  <si>
    <t xml:space="preserve">90 Vouchers</t>
  </si>
  <si>
    <t xml:space="preserve">Rp. 19.200</t>
  </si>
  <si>
    <t xml:space="preserve">Rp. 18.928</t>
  </si>
  <si>
    <t xml:space="preserve">Rp. 18.746</t>
  </si>
  <si>
    <t xml:space="preserve">Rp. 18.564</t>
  </si>
  <si>
    <t xml:space="preserve">AOV230-S11</t>
  </si>
  <si>
    <t xml:space="preserve">230 Vouchers</t>
  </si>
  <si>
    <t xml:space="preserve">Rp. 47.800</t>
  </si>
  <si>
    <t xml:space="preserve">Rp. 47.320</t>
  </si>
  <si>
    <t xml:space="preserve">Rp. 46.865</t>
  </si>
  <si>
    <t xml:space="preserve">Rp. 46.410</t>
  </si>
  <si>
    <t xml:space="preserve">AOV470-S11</t>
  </si>
  <si>
    <t xml:space="preserve">470 Vouchers</t>
  </si>
  <si>
    <t xml:space="preserve">Rp. 95.600</t>
  </si>
  <si>
    <t xml:space="preserve">Rp. 94.640</t>
  </si>
  <si>
    <t xml:space="preserve">Rp. 93.730</t>
  </si>
  <si>
    <t xml:space="preserve">Rp. 92.820</t>
  </si>
  <si>
    <t xml:space="preserve">AOV600-S11</t>
  </si>
  <si>
    <t xml:space="preserve">600 Vouchers</t>
  </si>
  <si>
    <t xml:space="preserve">Rp. 124.300</t>
  </si>
  <si>
    <t xml:space="preserve">Rp. 123.032</t>
  </si>
  <si>
    <t xml:space="preserve">Rp. 121.849</t>
  </si>
  <si>
    <t xml:space="preserve">Rp. 120.666</t>
  </si>
  <si>
    <t xml:space="preserve">AOV700-S11</t>
  </si>
  <si>
    <t xml:space="preserve">700 Vouchers</t>
  </si>
  <si>
    <t xml:space="preserve">Rp. 143.400</t>
  </si>
  <si>
    <t xml:space="preserve">Rp. 141.960</t>
  </si>
  <si>
    <t xml:space="preserve">Rp. 140.595</t>
  </si>
  <si>
    <t xml:space="preserve">Rp. 139.230</t>
  </si>
  <si>
    <t xml:space="preserve">AOV950-S11</t>
  </si>
  <si>
    <t xml:space="preserve">950 Vouchers</t>
  </si>
  <si>
    <t xml:space="preserve">Rp. 191.100</t>
  </si>
  <si>
    <t xml:space="preserve">Rp. 189.280</t>
  </si>
  <si>
    <t xml:space="preserve">Rp. 187.460</t>
  </si>
  <si>
    <t xml:space="preserve">Rp. 185.640</t>
  </si>
  <si>
    <t xml:space="preserve">AOV1030-S11</t>
  </si>
  <si>
    <t xml:space="preserve">1030 Vouchers</t>
  </si>
  <si>
    <t xml:space="preserve">Rp. 210.300</t>
  </si>
  <si>
    <t xml:space="preserve">Rp. 208.208</t>
  </si>
  <si>
    <t xml:space="preserve">Rp. 206.206</t>
  </si>
  <si>
    <t xml:space="preserve">Rp. 204.204</t>
  </si>
  <si>
    <t xml:space="preserve">AOV1420-S11</t>
  </si>
  <si>
    <t xml:space="preserve">1420 Vouchers</t>
  </si>
  <si>
    <t xml:space="preserve">Rp. 286.700</t>
  </si>
  <si>
    <t xml:space="preserve">Rp. 283.920</t>
  </si>
  <si>
    <t xml:space="preserve">Rp. 281.190</t>
  </si>
  <si>
    <t xml:space="preserve">Rp. 278.460</t>
  </si>
  <si>
    <t xml:space="preserve">AOV1430-S11</t>
  </si>
  <si>
    <t xml:space="preserve">1430 Vouchers</t>
  </si>
  <si>
    <t xml:space="preserve">AOV1440-S11</t>
  </si>
  <si>
    <t xml:space="preserve">1440 Vouchers</t>
  </si>
  <si>
    <t xml:space="preserve">Rp. 296.300</t>
  </si>
  <si>
    <t xml:space="preserve">Rp. 293.384</t>
  </si>
  <si>
    <t xml:space="preserve">Rp. 290.563</t>
  </si>
  <si>
    <t xml:space="preserve">Rp. 287.742</t>
  </si>
  <si>
    <t xml:space="preserve">AOV2360-S11</t>
  </si>
  <si>
    <t xml:space="preserve">2360 Vouchers</t>
  </si>
  <si>
    <t xml:space="preserve">Rp. 477.800</t>
  </si>
  <si>
    <t xml:space="preserve">Rp. 473.200</t>
  </si>
  <si>
    <t xml:space="preserve">Rp. 468.650</t>
  </si>
  <si>
    <t xml:space="preserve">Rp. 464.100</t>
  </si>
  <si>
    <t xml:space="preserve">AOV2390-S11</t>
  </si>
  <si>
    <t xml:space="preserve">2390 Vouchers</t>
  </si>
  <si>
    <t xml:space="preserve">AOV2400-S11</t>
  </si>
  <si>
    <t xml:space="preserve">2400 Vouchers</t>
  </si>
  <si>
    <t xml:space="preserve">Rp. 487.400</t>
  </si>
  <si>
    <t xml:space="preserve">Rp. 482.664</t>
  </si>
  <si>
    <t xml:space="preserve">Rp. 478.023</t>
  </si>
  <si>
    <t xml:space="preserve">Rp. 473.382</t>
  </si>
  <si>
    <t xml:space="preserve">AOV3300-S11</t>
  </si>
  <si>
    <t xml:space="preserve">3300 Vouchers</t>
  </si>
  <si>
    <t xml:space="preserve">Rp. 668.900</t>
  </si>
  <si>
    <t xml:space="preserve">Rp. 662.480</t>
  </si>
  <si>
    <t xml:space="preserve">Rp. 656.110</t>
  </si>
  <si>
    <t xml:space="preserve">Rp. 649.740</t>
  </si>
  <si>
    <t xml:space="preserve">AOV4810-S11</t>
  </si>
  <si>
    <t xml:space="preserve">4810 Vouchers</t>
  </si>
  <si>
    <t xml:space="preserve">Rp. 974.700</t>
  </si>
  <si>
    <t xml:space="preserve">Rp. 965.328</t>
  </si>
  <si>
    <t xml:space="preserve">Rp. 956.046</t>
  </si>
  <si>
    <t xml:space="preserve">Rp. 946.764</t>
  </si>
  <si>
    <t xml:space="preserve">AOV7050-S11</t>
  </si>
  <si>
    <t xml:space="preserve">7050 Vouchers</t>
  </si>
  <si>
    <t xml:space="preserve">Rp. 1.423.700</t>
  </si>
  <si>
    <t xml:space="preserve">Rp. 1.410.136</t>
  </si>
  <si>
    <t xml:space="preserve">Rp. 1.396.577</t>
  </si>
  <si>
    <t xml:space="preserve">Rp. 1.383.018</t>
  </si>
  <si>
    <t xml:space="preserve">AOV9420-S11</t>
  </si>
  <si>
    <t xml:space="preserve">9420 Vouchers</t>
  </si>
  <si>
    <t xml:space="preserve">Rp. 1.901.500</t>
  </si>
  <si>
    <t xml:space="preserve">Rp. 1.883.336</t>
  </si>
  <si>
    <t xml:space="preserve">Rp. 1.865.227</t>
  </si>
  <si>
    <t xml:space="preserve">Rp. 1.847.118</t>
  </si>
  <si>
    <t xml:space="preserve">4800 Vouchers</t>
  </si>
  <si>
    <t xml:space="preserve">24050 Vouchers</t>
  </si>
  <si>
    <t xml:space="preserve">48200 Vouchers</t>
  </si>
  <si>
    <t xml:space="preserve">HP1980-S11</t>
  </si>
  <si>
    <t xml:space="preserve">Harry Potter: Magic Awakened</t>
  </si>
  <si>
    <t xml:space="preserve">1980 + 380 Jewels</t>
  </si>
  <si>
    <t xml:space="preserve">Rp. 368.722</t>
  </si>
  <si>
    <t xml:space="preserve">Rp. 365.142</t>
  </si>
  <si>
    <t xml:space="preserve">Rp. 361.562</t>
  </si>
  <si>
    <t xml:space="preserve">Rp. 359.772</t>
  </si>
  <si>
    <t xml:space="preserve">Special Item</t>
  </si>
  <si>
    <t xml:space="preserve">Gold Supply Pack</t>
  </si>
  <si>
    <t xml:space="preserve">Monthly Card</t>
  </si>
  <si>
    <t xml:space="preserve">Ruby Key Pack</t>
  </si>
  <si>
    <t xml:space="preserve">Clockturn Key Pack</t>
  </si>
  <si>
    <t xml:space="preserve">Golden Key Pack</t>
  </si>
  <si>
    <t xml:space="preserve">60 Jawels</t>
  </si>
  <si>
    <t xml:space="preserve">300 Jawels</t>
  </si>
  <si>
    <t xml:space="preserve">750 (680+70) Jawels</t>
  </si>
  <si>
    <t xml:space="preserve">1145 (980+165) Jawels</t>
  </si>
  <si>
    <t xml:space="preserve">1550 (1280+270) Jawels</t>
  </si>
  <si>
    <t xml:space="preserve">2360 (1980+380) Jawels</t>
  </si>
  <si>
    <t xml:space="preserve">4060 (3280+780) Jawels</t>
  </si>
  <si>
    <t xml:space="preserve">8480 (6480+2000) Jawels</t>
  </si>
  <si>
    <t xml:space="preserve">HAGO6-S7</t>
  </si>
  <si>
    <t xml:space="preserve">Hago</t>
  </si>
  <si>
    <t xml:space="preserve">6 Diamonds</t>
  </si>
  <si>
    <t xml:space="preserve">Rp. 2.100</t>
  </si>
  <si>
    <t xml:space="preserve">Rp. 2.028</t>
  </si>
  <si>
    <t xml:space="preserve">Rp. 1.989</t>
  </si>
  <si>
    <t xml:space="preserve">Rp. 1.960</t>
  </si>
  <si>
    <t xml:space="preserve">HAGO46-S7</t>
  </si>
  <si>
    <t xml:space="preserve">46 Diamonds</t>
  </si>
  <si>
    <t xml:space="preserve">Rp. 15.600</t>
  </si>
  <si>
    <t xml:space="preserve">Rp. 15.443</t>
  </si>
  <si>
    <t xml:space="preserve">Rp. 15.146</t>
  </si>
  <si>
    <t xml:space="preserve">Rp. 14.924</t>
  </si>
  <si>
    <t xml:space="preserve">HAGO91-S7</t>
  </si>
  <si>
    <t xml:space="preserve">91 Diamonds</t>
  </si>
  <si>
    <t xml:space="preserve">Rp. 31.200</t>
  </si>
  <si>
    <t xml:space="preserve">Rp. 30.885</t>
  </si>
  <si>
    <t xml:space="preserve">Rp. 30.291</t>
  </si>
  <si>
    <t xml:space="preserve">Rp. 29.846</t>
  </si>
  <si>
    <t xml:space="preserve">HAGO228-S7</t>
  </si>
  <si>
    <t xml:space="preserve">228 Diamonds</t>
  </si>
  <si>
    <t xml:space="preserve">Rp. 78.000</t>
  </si>
  <si>
    <t xml:space="preserve">Rp. 77.213</t>
  </si>
  <si>
    <t xml:space="preserve">Rp. 75.728</t>
  </si>
  <si>
    <t xml:space="preserve">Rp. 74.615</t>
  </si>
  <si>
    <t xml:space="preserve">HAGO381-S7</t>
  </si>
  <si>
    <t xml:space="preserve">381 Diamonds</t>
  </si>
  <si>
    <t xml:space="preserve">Rp. 130.000</t>
  </si>
  <si>
    <t xml:space="preserve">Rp. 128.688</t>
  </si>
  <si>
    <t xml:space="preserve">Rp. 126.213</t>
  </si>
  <si>
    <t xml:space="preserve">Rp. 124.357</t>
  </si>
  <si>
    <t xml:space="preserve">HAGO915-S7</t>
  </si>
  <si>
    <t xml:space="preserve">915 Diamonds</t>
  </si>
  <si>
    <t xml:space="preserve">Rp. 311.900</t>
  </si>
  <si>
    <t xml:space="preserve">Rp. 308.849</t>
  </si>
  <si>
    <t xml:space="preserve">Rp. 302.910</t>
  </si>
  <si>
    <t xml:space="preserve">Rp. 298.455</t>
  </si>
  <si>
    <t xml:space="preserve">HAGO1680-S7</t>
  </si>
  <si>
    <t xml:space="preserve">1680 Diamonds</t>
  </si>
  <si>
    <t xml:space="preserve">Rp. 571.700</t>
  </si>
  <si>
    <t xml:space="preserve">Rp. 566.224</t>
  </si>
  <si>
    <t xml:space="preserve">Rp. 555.335</t>
  </si>
  <si>
    <t xml:space="preserve">Rp. 547.169</t>
  </si>
  <si>
    <t xml:space="preserve">HAGO3362-S7</t>
  </si>
  <si>
    <t xml:space="preserve">3362 Diamonds</t>
  </si>
  <si>
    <t xml:space="preserve">Rp. 1.143.400</t>
  </si>
  <si>
    <t xml:space="preserve">Rp. 1.132.447</t>
  </si>
  <si>
    <t xml:space="preserve">Rp. 1.110.669</t>
  </si>
  <si>
    <t xml:space="preserve">Rp. 1.094.336</t>
  </si>
  <si>
    <t xml:space="preserve">CODM128-S8</t>
  </si>
  <si>
    <t xml:space="preserve">Call Of Duty Mobile</t>
  </si>
  <si>
    <t xml:space="preserve">128 CP</t>
  </si>
  <si>
    <t xml:space="preserve">Rp. 18.100</t>
  </si>
  <si>
    <t xml:space="preserve">Rp. 17.899</t>
  </si>
  <si>
    <t xml:space="preserve">Rp. 17.727</t>
  </si>
  <si>
    <t xml:space="preserve">Rp. 17.297</t>
  </si>
  <si>
    <t xml:space="preserve">CODM321-S8</t>
  </si>
  <si>
    <t xml:space="preserve">321 CP</t>
  </si>
  <si>
    <t xml:space="preserve">Rp. 47.900</t>
  </si>
  <si>
    <t xml:space="preserve">Rp. 47.346</t>
  </si>
  <si>
    <t xml:space="preserve">Rp. 46.891</t>
  </si>
  <si>
    <t xml:space="preserve">Rp. 45.753</t>
  </si>
  <si>
    <t xml:space="preserve">CODM528-S8</t>
  </si>
  <si>
    <t xml:space="preserve">528 CP</t>
  </si>
  <si>
    <t xml:space="preserve">Rp. 95.800</t>
  </si>
  <si>
    <t xml:space="preserve">Rp. 94.822</t>
  </si>
  <si>
    <t xml:space="preserve">Rp. 93.911</t>
  </si>
  <si>
    <t xml:space="preserve">Rp. 91.631</t>
  </si>
  <si>
    <t xml:space="preserve">CODM1056-S8</t>
  </si>
  <si>
    <t xml:space="preserve">1056 CP</t>
  </si>
  <si>
    <t xml:space="preserve">Rp. 199.500</t>
  </si>
  <si>
    <t xml:space="preserve">Rp. 197.522</t>
  </si>
  <si>
    <t xml:space="preserve">Rp. 195.623</t>
  </si>
  <si>
    <t xml:space="preserve">Rp. 190.875</t>
  </si>
  <si>
    <t xml:space="preserve">CODM1584-S8</t>
  </si>
  <si>
    <t xml:space="preserve">1584 CP</t>
  </si>
  <si>
    <t xml:space="preserve">Rp. 275.700</t>
  </si>
  <si>
    <t xml:space="preserve">Rp. 273.026</t>
  </si>
  <si>
    <t xml:space="preserve">Rp. 270.401</t>
  </si>
  <si>
    <t xml:space="preserve">Rp. 263.838</t>
  </si>
  <si>
    <t xml:space="preserve">CODM2059-S8</t>
  </si>
  <si>
    <t xml:space="preserve">2059 CP</t>
  </si>
  <si>
    <t xml:space="preserve">Rp. 281.300</t>
  </si>
  <si>
    <t xml:space="preserve">Rp. 278.608</t>
  </si>
  <si>
    <t xml:space="preserve">Rp. 275.929</t>
  </si>
  <si>
    <t xml:space="preserve">Rp. 269.232</t>
  </si>
  <si>
    <t xml:space="preserve">CODM38280-S8</t>
  </si>
  <si>
    <t xml:space="preserve">38280 CP</t>
  </si>
  <si>
    <t xml:space="preserve">Rp. 4.916.800</t>
  </si>
  <si>
    <t xml:space="preserve">Rp. 4.869.878</t>
  </si>
  <si>
    <t xml:space="preserve">Rp. 4.823.053</t>
  </si>
  <si>
    <t xml:space="preserve">Rp. 4.705.988</t>
  </si>
  <si>
    <t xml:space="preserve">31 CP</t>
  </si>
  <si>
    <t xml:space="preserve">63 CP</t>
  </si>
  <si>
    <t xml:space="preserve">645 CP</t>
  </si>
  <si>
    <t xml:space="preserve">800 CP</t>
  </si>
  <si>
    <t xml:space="preserve">1373 CP</t>
  </si>
  <si>
    <t xml:space="preserve">2060 CP</t>
  </si>
  <si>
    <t xml:space="preserve">2750 CP</t>
  </si>
  <si>
    <t xml:space="preserve">3564 CP</t>
  </si>
  <si>
    <t xml:space="preserve">5618 CP</t>
  </si>
  <si>
    <t xml:space="preserve">7656 CP</t>
  </si>
  <si>
    <t xml:space="preserve">15312 CP</t>
  </si>
  <si>
    <t xml:space="preserve">76560 CP</t>
  </si>
  <si>
    <t xml:space="preserve">HSTR32400-S11</t>
  </si>
  <si>
    <t xml:space="preserve">Honkai : Star Rail</t>
  </si>
  <si>
    <t xml:space="preserve">6480 + 1600 Oneiric Shard x 5</t>
  </si>
  <si>
    <t xml:space="preserve">Rp. 5.847.308</t>
  </si>
  <si>
    <t xml:space="preserve">Rp. 5.790.538</t>
  </si>
  <si>
    <t xml:space="preserve">Rp. 5.733.768</t>
  </si>
  <si>
    <t xml:space="preserve">Rp. 5.705.383</t>
  </si>
  <si>
    <t xml:space="preserve">Oneiric Shard (Indonesia)</t>
  </si>
  <si>
    <t xml:space="preserve">60 Oneiric Shard (ID)</t>
  </si>
  <si>
    <t xml:space="preserve">330 (300+30) Oneiric Shard (ID)</t>
  </si>
  <si>
    <t xml:space="preserve">1090 (980+110) Oneiric Shard (ID)</t>
  </si>
  <si>
    <t xml:space="preserve">2240 (1980+260) Oneiric Shard (ID)</t>
  </si>
  <si>
    <t xml:space="preserve">3880 (3280+600) Oneiric Shard (ID)</t>
  </si>
  <si>
    <t xml:space="preserve">8080 (6480+1600) Oneiric Shard (ID)</t>
  </si>
  <si>
    <t xml:space="preserve">Region Indonesia</t>
  </si>
  <si>
    <t xml:space="preserve">425 Wild Cores</t>
  </si>
  <si>
    <t xml:space="preserve">1000 Wild Cores</t>
  </si>
  <si>
    <t xml:space="preserve">1850 Wild Cores</t>
  </si>
  <si>
    <t xml:space="preserve">3275 Wild Cores</t>
  </si>
  <si>
    <t xml:space="preserve">4800 Wild Cores</t>
  </si>
  <si>
    <t xml:space="preserve">10000 Wild Cores</t>
  </si>
  <si>
    <t xml:space="preserve">Region Malaysia</t>
  </si>
  <si>
    <t xml:space="preserve">Region Philippines</t>
  </si>
  <si>
    <t xml:space="preserve">Region Singapore</t>
  </si>
  <si>
    <t xml:space="preserve">ML3-S7</t>
  </si>
  <si>
    <t xml:space="preserve">Mobile Legends</t>
  </si>
  <si>
    <t xml:space="preserve">3 Diamonds</t>
  </si>
  <si>
    <t xml:space="preserve">Rp. 1.100</t>
  </si>
  <si>
    <t xml:space="preserve">Rp. 1.030</t>
  </si>
  <si>
    <t xml:space="preserve">Rp. 1.020</t>
  </si>
  <si>
    <t xml:space="preserve">Rp. 1.010</t>
  </si>
  <si>
    <t xml:space="preserve">ML5-S7</t>
  </si>
  <si>
    <t xml:space="preserve">5 Diamonds</t>
  </si>
  <si>
    <t xml:space="preserve">Rp. 1.600</t>
  </si>
  <si>
    <t xml:space="preserve">Rp. 1.478</t>
  </si>
  <si>
    <t xml:space="preserve">Rp. 1.463</t>
  </si>
  <si>
    <t xml:space="preserve">Rp. 1.449</t>
  </si>
  <si>
    <t xml:space="preserve">ML10-S7</t>
  </si>
  <si>
    <t xml:space="preserve">10 Diamonds (9 + 1 Bonus)</t>
  </si>
  <si>
    <t xml:space="preserve">Rp. 3.100</t>
  </si>
  <si>
    <t xml:space="preserve">Rp. 2.956</t>
  </si>
  <si>
    <t xml:space="preserve">Rp. 2.927</t>
  </si>
  <si>
    <t xml:space="preserve">Rp. 2.898</t>
  </si>
  <si>
    <t xml:space="preserve">ML14-S7</t>
  </si>
  <si>
    <t xml:space="preserve">14 Diamonds (13 + 1 Bonus)</t>
  </si>
  <si>
    <t xml:space="preserve">Rp. 4.100</t>
  </si>
  <si>
    <t xml:space="preserve">Rp. 3.974</t>
  </si>
  <si>
    <t xml:space="preserve">Rp. 3.936</t>
  </si>
  <si>
    <t xml:space="preserve">Rp. 3.897</t>
  </si>
  <si>
    <t xml:space="preserve">ML19-S7</t>
  </si>
  <si>
    <t xml:space="preserve">19 Diamonds (18 + 1 Bonus)</t>
  </si>
  <si>
    <t xml:space="preserve">Rp. 5.600</t>
  </si>
  <si>
    <t xml:space="preserve">Rp. 5.418</t>
  </si>
  <si>
    <t xml:space="preserve">Rp. 5.366</t>
  </si>
  <si>
    <t xml:space="preserve">Rp. 5.313</t>
  </si>
  <si>
    <t xml:space="preserve">ML36-S7</t>
  </si>
  <si>
    <t xml:space="preserve">36 Diamonds (33 + 3 Bonus)</t>
  </si>
  <si>
    <t xml:space="preserve">Rp. 10.200</t>
  </si>
  <si>
    <t xml:space="preserve">Rp. 9.935</t>
  </si>
  <si>
    <t xml:space="preserve">Rp. 9.838</t>
  </si>
  <si>
    <t xml:space="preserve">Rp. 9.742</t>
  </si>
  <si>
    <t xml:space="preserve">ML46-S7</t>
  </si>
  <si>
    <t xml:space="preserve">46 Diamonds (42 + 4 Bonus)</t>
  </si>
  <si>
    <t xml:space="preserve">Rp. 13.200</t>
  </si>
  <si>
    <t xml:space="preserve">Rp. 12.889</t>
  </si>
  <si>
    <t xml:space="preserve">Rp. 12.764</t>
  </si>
  <si>
    <t xml:space="preserve">Rp. 12.639</t>
  </si>
  <si>
    <t xml:space="preserve">ML54-S7</t>
  </si>
  <si>
    <t xml:space="preserve">54 Diamonds (50 + 4 Bonus)</t>
  </si>
  <si>
    <t xml:space="preserve">Rp. 15.200</t>
  </si>
  <si>
    <t xml:space="preserve">Rp. 14.902</t>
  </si>
  <si>
    <t xml:space="preserve">Rp. 14.757</t>
  </si>
  <si>
    <t xml:space="preserve">Rp. 14.612</t>
  </si>
  <si>
    <t xml:space="preserve">ML71-S7</t>
  </si>
  <si>
    <t xml:space="preserve">71 Diamonds (64 + 7 Bonus)</t>
  </si>
  <si>
    <t xml:space="preserve">Rp. 19.600</t>
  </si>
  <si>
    <t xml:space="preserve">Rp. 19.211</t>
  </si>
  <si>
    <t xml:space="preserve">Rp. 19.025</t>
  </si>
  <si>
    <t xml:space="preserve">Rp. 18.838</t>
  </si>
  <si>
    <t xml:space="preserve">ML74-S7</t>
  </si>
  <si>
    <t xml:space="preserve">74 Diamonds (67 + 7 Bonus)</t>
  </si>
  <si>
    <t xml:space="preserve">Rp. 20.300</t>
  </si>
  <si>
    <t xml:space="preserve">Rp. 19.867</t>
  </si>
  <si>
    <t xml:space="preserve">Rp. 19.674</t>
  </si>
  <si>
    <t xml:space="preserve">Rp. 19.481</t>
  </si>
  <si>
    <t xml:space="preserve">ML85-S7</t>
  </si>
  <si>
    <t xml:space="preserve">85 Diamonds (77 + 8 Bonus)</t>
  </si>
  <si>
    <t xml:space="preserve">Rp. 23.100</t>
  </si>
  <si>
    <t xml:space="preserve">Rp. 22.659</t>
  </si>
  <si>
    <t xml:space="preserve">Rp. 22.439</t>
  </si>
  <si>
    <t xml:space="preserve">Rp. 22.219</t>
  </si>
  <si>
    <t xml:space="preserve">ML88-S7</t>
  </si>
  <si>
    <t xml:space="preserve">88 Diamonds (80 + 8 Bonus)</t>
  </si>
  <si>
    <t xml:space="preserve">Rp. 24.400</t>
  </si>
  <si>
    <t xml:space="preserve">Rp. 23.841</t>
  </si>
  <si>
    <t xml:space="preserve">Rp. 23.609</t>
  </si>
  <si>
    <t xml:space="preserve">Rp. 23.378</t>
  </si>
  <si>
    <t xml:space="preserve">MLWDP-S7</t>
  </si>
  <si>
    <t xml:space="preserve">Weekly Diamond Pass murah</t>
  </si>
  <si>
    <t xml:space="preserve">Rp. 27.700</t>
  </si>
  <si>
    <t xml:space="preserve">Rp. 27.650</t>
  </si>
  <si>
    <t xml:space="preserve">Rp. 27.600</t>
  </si>
  <si>
    <t xml:space="preserve">Rp. 27.500</t>
  </si>
  <si>
    <t xml:space="preserve">ML110-S7</t>
  </si>
  <si>
    <t xml:space="preserve">110 Diamonds (100 + 10 Bonus)</t>
  </si>
  <si>
    <t xml:space="preserve">Rp. 30.400</t>
  </si>
  <si>
    <t xml:space="preserve">Rp. 29.801</t>
  </si>
  <si>
    <t xml:space="preserve">Rp. 29.512</t>
  </si>
  <si>
    <t xml:space="preserve">Rp. 29.223</t>
  </si>
  <si>
    <t xml:space="preserve">ML113-S7</t>
  </si>
  <si>
    <t xml:space="preserve">113 Diamonds (102 + 11 Bonus)</t>
  </si>
  <si>
    <t xml:space="preserve">Rp. 30.541</t>
  </si>
  <si>
    <t xml:space="preserve">Rp. 30.245</t>
  </si>
  <si>
    <t xml:space="preserve">Rp. 29.948</t>
  </si>
  <si>
    <t xml:space="preserve">ML128-S7</t>
  </si>
  <si>
    <t xml:space="preserve">128 Diamonds (117 + 11 Bonus)</t>
  </si>
  <si>
    <t xml:space="preserve">Rp. 35.500</t>
  </si>
  <si>
    <t xml:space="preserve">Rp. 34.768</t>
  </si>
  <si>
    <t xml:space="preserve">Rp. 34.431</t>
  </si>
  <si>
    <t xml:space="preserve">Rp. 34.093</t>
  </si>
  <si>
    <t xml:space="preserve">ML148-S7</t>
  </si>
  <si>
    <t xml:space="preserve">148 Diamonds (134 + 14 Bonus)</t>
  </si>
  <si>
    <t xml:space="preserve">Rp. 40.600</t>
  </si>
  <si>
    <t xml:space="preserve">Rp. 39.734</t>
  </si>
  <si>
    <t xml:space="preserve">Rp. 39.348</t>
  </si>
  <si>
    <t xml:space="preserve">Rp. 38.962</t>
  </si>
  <si>
    <t xml:space="preserve">ML176-S7</t>
  </si>
  <si>
    <t xml:space="preserve">176 Diamonds (160 + 16 Bonus)</t>
  </si>
  <si>
    <t xml:space="preserve">Rp. 48.700</t>
  </si>
  <si>
    <t xml:space="preserve">Rp. 47.680</t>
  </si>
  <si>
    <t xml:space="preserve">Rp. 47.217</t>
  </si>
  <si>
    <t xml:space="preserve">Rp. 46.754</t>
  </si>
  <si>
    <t xml:space="preserve">ML184-S7</t>
  </si>
  <si>
    <t xml:space="preserve">184 Diamonds (167 + 17 Bonus)</t>
  </si>
  <si>
    <t xml:space="preserve">Rp. 50.700</t>
  </si>
  <si>
    <t xml:space="preserve">Rp. 49.668</t>
  </si>
  <si>
    <t xml:space="preserve">Rp. 49.186</t>
  </si>
  <si>
    <t xml:space="preserve">Rp. 48.704</t>
  </si>
  <si>
    <t xml:space="preserve">ML222-S7</t>
  </si>
  <si>
    <t xml:space="preserve">222 Diamonds (200 + 22 Bonus)</t>
  </si>
  <si>
    <t xml:space="preserve">Rp. 60.800</t>
  </si>
  <si>
    <t xml:space="preserve">Rp. 59.600</t>
  </si>
  <si>
    <t xml:space="preserve">Rp. 59.022</t>
  </si>
  <si>
    <t xml:space="preserve">Rp. 58.443</t>
  </si>
  <si>
    <t xml:space="preserve">ML258-S7</t>
  </si>
  <si>
    <t xml:space="preserve">258 Diamonds (233 + 25 Bonus)</t>
  </si>
  <si>
    <t xml:space="preserve">Rp. 70.900</t>
  </si>
  <si>
    <t xml:space="preserve">Rp. 69.535</t>
  </si>
  <si>
    <t xml:space="preserve">Rp. 68.860</t>
  </si>
  <si>
    <t xml:space="preserve">Rp. 68.185</t>
  </si>
  <si>
    <t xml:space="preserve">ML277-S7</t>
  </si>
  <si>
    <t xml:space="preserve">277 Diamonds (250 + 27 Bonus)</t>
  </si>
  <si>
    <t xml:space="preserve">Rp. 76.000</t>
  </si>
  <si>
    <t xml:space="preserve">Rp. 74.500</t>
  </si>
  <si>
    <t xml:space="preserve">Rp. 73.777</t>
  </si>
  <si>
    <t xml:space="preserve">Rp. 73.054</t>
  </si>
  <si>
    <t xml:space="preserve">ML284-S7</t>
  </si>
  <si>
    <t xml:space="preserve">284 Diamonds (257 + 27 Bonus)</t>
  </si>
  <si>
    <t xml:space="preserve">Rp. 77.200</t>
  </si>
  <si>
    <t xml:space="preserve">Rp. 75.726</t>
  </si>
  <si>
    <t xml:space="preserve">Rp. 74.991</t>
  </si>
  <si>
    <t xml:space="preserve">Rp. 74.256</t>
  </si>
  <si>
    <t xml:space="preserve">ML305-S7</t>
  </si>
  <si>
    <t xml:space="preserve">305 Diamonds (276 + 29 Bonus)</t>
  </si>
  <si>
    <t xml:space="preserve">Rp. 84.100</t>
  </si>
  <si>
    <t xml:space="preserve">Rp. 82.447</t>
  </si>
  <si>
    <t xml:space="preserve">Rp. 81.646</t>
  </si>
  <si>
    <t xml:space="preserve">Rp. 80.846</t>
  </si>
  <si>
    <t xml:space="preserve">ML333-S7</t>
  </si>
  <si>
    <t xml:space="preserve">333 Diamonds (302 + 31 Bonus)</t>
  </si>
  <si>
    <t xml:space="preserve">Rp. 92.200</t>
  </si>
  <si>
    <t xml:space="preserve">Rp. 90.393</t>
  </si>
  <si>
    <t xml:space="preserve">Rp. 89.516</t>
  </si>
  <si>
    <t xml:space="preserve">Rp. 88.638</t>
  </si>
  <si>
    <t xml:space="preserve">ML346-S7</t>
  </si>
  <si>
    <t xml:space="preserve">346 Diamonds (314 + 32 Bonus)</t>
  </si>
  <si>
    <t xml:space="preserve">Rp. 94.900</t>
  </si>
  <si>
    <t xml:space="preserve">Rp. 92.999</t>
  </si>
  <si>
    <t xml:space="preserve">Rp. 92.096</t>
  </si>
  <si>
    <t xml:space="preserve">Rp. 91.193</t>
  </si>
  <si>
    <t xml:space="preserve">ML356-S7</t>
  </si>
  <si>
    <t xml:space="preserve">356 Diamonds (322 + 34 Bonus)</t>
  </si>
  <si>
    <t xml:space="preserve">Rp. 97.800</t>
  </si>
  <si>
    <t xml:space="preserve">Rp. 95.844</t>
  </si>
  <si>
    <t xml:space="preserve">Rp. 94.914</t>
  </si>
  <si>
    <t xml:space="preserve">Rp. 93.983</t>
  </si>
  <si>
    <t xml:space="preserve">ML370-S7</t>
  </si>
  <si>
    <t xml:space="preserve">370 Diamonds (333 + 37 Bonus)</t>
  </si>
  <si>
    <t xml:space="preserve">Rp. 101.300</t>
  </si>
  <si>
    <t xml:space="preserve">Rp. 99.334</t>
  </si>
  <si>
    <t xml:space="preserve">Rp. 98.369</t>
  </si>
  <si>
    <t xml:space="preserve">Rp. 97.405</t>
  </si>
  <si>
    <t xml:space="preserve">ML384-S7</t>
  </si>
  <si>
    <t xml:space="preserve">384 Diamonds (346 + 38 Bonus)</t>
  </si>
  <si>
    <t xml:space="preserve">Rp. 105.400</t>
  </si>
  <si>
    <t xml:space="preserve">Rp. 103.307</t>
  </si>
  <si>
    <t xml:space="preserve">Rp. 102.304</t>
  </si>
  <si>
    <t xml:space="preserve">Rp. 101.301</t>
  </si>
  <si>
    <t xml:space="preserve">ML424-S7</t>
  </si>
  <si>
    <t xml:space="preserve">424 Diamonds (383 + 41 Bonus)</t>
  </si>
  <si>
    <t xml:space="preserve">Rp. 115.500</t>
  </si>
  <si>
    <t xml:space="preserve">Rp. 113.241</t>
  </si>
  <si>
    <t xml:space="preserve">Rp. 112.141</t>
  </si>
  <si>
    <t xml:space="preserve">Rp. 111.042</t>
  </si>
  <si>
    <t xml:space="preserve">ML452-S7</t>
  </si>
  <si>
    <t xml:space="preserve">452 Diamonds (407 + 45 Bonus)</t>
  </si>
  <si>
    <t xml:space="preserve">Rp. 122.300</t>
  </si>
  <si>
    <t xml:space="preserve">Rp. 119.971</t>
  </si>
  <si>
    <t xml:space="preserve">Rp. 118.806</t>
  </si>
  <si>
    <t xml:space="preserve">Rp. 117.641</t>
  </si>
  <si>
    <t xml:space="preserve">ML518-S7</t>
  </si>
  <si>
    <t xml:space="preserve">518 Diamonds (467 + 51 Bonus)</t>
  </si>
  <si>
    <t xml:space="preserve">Rp. 140.700</t>
  </si>
  <si>
    <t xml:space="preserve">Rp. 137.948</t>
  </si>
  <si>
    <t xml:space="preserve">Rp. 136.609</t>
  </si>
  <si>
    <t xml:space="preserve">Rp. 135.270</t>
  </si>
  <si>
    <t xml:space="preserve">ML642-S7</t>
  </si>
  <si>
    <t xml:space="preserve">642 Diamonds (570 + 72 Bonus)</t>
  </si>
  <si>
    <t xml:space="preserve">Rp. 170.700</t>
  </si>
  <si>
    <t xml:space="preserve">Rp. 167.377</t>
  </si>
  <si>
    <t xml:space="preserve">Rp. 165.752</t>
  </si>
  <si>
    <t xml:space="preserve">Rp. 164.127</t>
  </si>
  <si>
    <t xml:space="preserve">ML716-S7</t>
  </si>
  <si>
    <t xml:space="preserve">716 Diamonds (637 + 79 Bonus)</t>
  </si>
  <si>
    <t xml:space="preserve">Rp. 190.900</t>
  </si>
  <si>
    <t xml:space="preserve">Rp. 187.243</t>
  </si>
  <si>
    <t xml:space="preserve">Rp. 185.425</t>
  </si>
  <si>
    <t xml:space="preserve">Rp. 183.607</t>
  </si>
  <si>
    <t xml:space="preserve">ML758-S7</t>
  </si>
  <si>
    <t xml:space="preserve">758 Diamonds (675 + 83 Bonus)</t>
  </si>
  <si>
    <t xml:space="preserve">Rp. 203.000</t>
  </si>
  <si>
    <t xml:space="preserve">Rp. 199.098</t>
  </si>
  <si>
    <t xml:space="preserve">Rp. 197.165</t>
  </si>
  <si>
    <t xml:space="preserve">Rp. 195.232</t>
  </si>
  <si>
    <t xml:space="preserve">ML790-S7</t>
  </si>
  <si>
    <t xml:space="preserve">790 Diamonds (703 + 87 Bonus)</t>
  </si>
  <si>
    <t xml:space="preserve">Rp. 211.200</t>
  </si>
  <si>
    <t xml:space="preserve">Rp. 207.110</t>
  </si>
  <si>
    <t xml:space="preserve">Rp. 205.099</t>
  </si>
  <si>
    <t xml:space="preserve">Rp. 203.088</t>
  </si>
  <si>
    <t xml:space="preserve">ML845-S7</t>
  </si>
  <si>
    <t xml:space="preserve">845 Diamonds (753 + 92 Bonus)</t>
  </si>
  <si>
    <t xml:space="preserve">Rp. 226.400</t>
  </si>
  <si>
    <t xml:space="preserve">Rp. 222.010</t>
  </si>
  <si>
    <t xml:space="preserve">Rp. 219.854</t>
  </si>
  <si>
    <t xml:space="preserve">Rp. 217.699</t>
  </si>
  <si>
    <t xml:space="preserve">ML938-S7</t>
  </si>
  <si>
    <t xml:space="preserve">938 Diamonds (836 + 102 Bonus)</t>
  </si>
  <si>
    <t xml:space="preserve">Rp. 251.700</t>
  </si>
  <si>
    <t xml:space="preserve">Rp. 246.843</t>
  </si>
  <si>
    <t xml:space="preserve">Rp. 244.447</t>
  </si>
  <si>
    <t xml:space="preserve">Rp. 242.050</t>
  </si>
  <si>
    <t xml:space="preserve">ML966-S7</t>
  </si>
  <si>
    <t xml:space="preserve">966 Diamonds (862 + 104 Bonus)</t>
  </si>
  <si>
    <t xml:space="preserve">Rp. 259.800</t>
  </si>
  <si>
    <t xml:space="preserve">Rp. 254.790</t>
  </si>
  <si>
    <t xml:space="preserve">Rp. 252.316</t>
  </si>
  <si>
    <t xml:space="preserve">Rp. 249.842</t>
  </si>
  <si>
    <t xml:space="preserve">ML1045-S7</t>
  </si>
  <si>
    <t xml:space="preserve">1045 Diamonds (928 + 117 Bonus)</t>
  </si>
  <si>
    <t xml:space="preserve">Rp. 276.700</t>
  </si>
  <si>
    <t xml:space="preserve">Rp. 271.420</t>
  </si>
  <si>
    <t xml:space="preserve">Rp. 268.785</t>
  </si>
  <si>
    <t xml:space="preserve">Rp. 266.150</t>
  </si>
  <si>
    <t xml:space="preserve">ML1136-S7</t>
  </si>
  <si>
    <t xml:space="preserve">1136 Diamonds (1006 + 130 Bonus)</t>
  </si>
  <si>
    <t xml:space="preserve">Rp. 300.800</t>
  </si>
  <si>
    <t xml:space="preserve">Rp. 295.019</t>
  </si>
  <si>
    <t xml:space="preserve">Rp. 292.155</t>
  </si>
  <si>
    <t xml:space="preserve">Rp. 289.291</t>
  </si>
  <si>
    <t xml:space="preserve">ML1506-S7</t>
  </si>
  <si>
    <t xml:space="preserve">1506 Diamonds (1339 + 167 Bonus)</t>
  </si>
  <si>
    <t xml:space="preserve">Rp. 402.100</t>
  </si>
  <si>
    <t xml:space="preserve">Rp. 394.352</t>
  </si>
  <si>
    <t xml:space="preserve">Rp. 390.524</t>
  </si>
  <si>
    <t xml:space="preserve">Rp. 386.695</t>
  </si>
  <si>
    <t xml:space="preserve">ML1704-S7</t>
  </si>
  <si>
    <t xml:space="preserve">1704 Diamonds (1509 + 195 Bonus)</t>
  </si>
  <si>
    <t xml:space="preserve">Rp. 451.200</t>
  </si>
  <si>
    <t xml:space="preserve">Rp. 442.529</t>
  </si>
  <si>
    <t xml:space="preserve">Rp. 438.232</t>
  </si>
  <si>
    <t xml:space="preserve">Rp. 433.936</t>
  </si>
  <si>
    <t xml:space="preserve">ML2232-S7</t>
  </si>
  <si>
    <t xml:space="preserve">2232 Diamonds (1908 + 324 Bonus)</t>
  </si>
  <si>
    <t xml:space="preserve">Rp. 561.900</t>
  </si>
  <si>
    <t xml:space="preserve">Rp. 551.122</t>
  </si>
  <si>
    <t xml:space="preserve">Rp. 545.771</t>
  </si>
  <si>
    <t xml:space="preserve">Rp. 540.420</t>
  </si>
  <si>
    <t xml:space="preserve">ML2380-S7</t>
  </si>
  <si>
    <t xml:space="preserve">2380 Diamonds (2041 + 339 Bonus)</t>
  </si>
  <si>
    <t xml:space="preserve">Rp. 602.400</t>
  </si>
  <si>
    <t xml:space="preserve">Rp. 590.855</t>
  </si>
  <si>
    <t xml:space="preserve">Rp. 585.118</t>
  </si>
  <si>
    <t xml:space="preserve">Rp. 579.382</t>
  </si>
  <si>
    <t xml:space="preserve">ML2625-S7</t>
  </si>
  <si>
    <t xml:space="preserve">2625 Diamonds (2253 + 372 Bonus)</t>
  </si>
  <si>
    <t xml:space="preserve">Rp. 665.000</t>
  </si>
  <si>
    <t xml:space="preserve">Rp. 652.330</t>
  </si>
  <si>
    <t xml:space="preserve">Rp. 645.997</t>
  </si>
  <si>
    <t xml:space="preserve">Rp. 639.664</t>
  </si>
  <si>
    <t xml:space="preserve">ML3738-S7</t>
  </si>
  <si>
    <t xml:space="preserve">3738 Diamonds (3247 + 491 Bonus)</t>
  </si>
  <si>
    <t xml:space="preserve">Rp. 963.900</t>
  </si>
  <si>
    <t xml:space="preserve">Rp. 945.474</t>
  </si>
  <si>
    <t xml:space="preserve">Rp. 936.294</t>
  </si>
  <si>
    <t xml:space="preserve">Rp. 927.115</t>
  </si>
  <si>
    <t xml:space="preserve">ML4588-S7</t>
  </si>
  <si>
    <t xml:space="preserve">4588 Diamonds (3919 + 669 Bonus)</t>
  </si>
  <si>
    <t xml:space="preserve">Rp. 1.152.600</t>
  </si>
  <si>
    <t xml:space="preserve">Rp. 1.130.551</t>
  </si>
  <si>
    <t xml:space="preserve">Rp. 1.119.575</t>
  </si>
  <si>
    <t xml:space="preserve">Rp. 1.108.599</t>
  </si>
  <si>
    <t xml:space="preserve">ML9660-S7</t>
  </si>
  <si>
    <t xml:space="preserve">9660 Diamonds (8006 + 1654 Bonus)</t>
  </si>
  <si>
    <t xml:space="preserve">Rp. 2.404.900</t>
  </si>
  <si>
    <t xml:space="preserve">Rp. 2.359.084</t>
  </si>
  <si>
    <t xml:space="preserve">Rp. 2.336.180</t>
  </si>
  <si>
    <t xml:space="preserve">Rp. 2.313.276</t>
  </si>
  <si>
    <t xml:space="preserve">ML14490-S7</t>
  </si>
  <si>
    <t xml:space="preserve">14490 Diamonds (12009 + 2481 Bonus)</t>
  </si>
  <si>
    <t xml:space="preserve">Rp. 3.607.400</t>
  </si>
  <si>
    <t xml:space="preserve">Rp. 3.538.626</t>
  </si>
  <si>
    <t xml:space="preserve">Rp. 3.504.271</t>
  </si>
  <si>
    <t xml:space="preserve">Rp. 3.469.915</t>
  </si>
  <si>
    <t xml:space="preserve">ML18090-S7</t>
  </si>
  <si>
    <t xml:space="preserve">18090 Diamonds (15372 + 2718 Bonus)</t>
  </si>
  <si>
    <t xml:space="preserve">Rp. 4.509.600</t>
  </si>
  <si>
    <t xml:space="preserve">Rp. 4.423.687</t>
  </si>
  <si>
    <t xml:space="preserve">Rp. 4.380.738</t>
  </si>
  <si>
    <t xml:space="preserve">Rp. 4.337.790</t>
  </si>
  <si>
    <t xml:space="preserve">ML19320-S7</t>
  </si>
  <si>
    <t xml:space="preserve">19320 Diamonds (16012 + 3308 Bonus)</t>
  </si>
  <si>
    <t xml:space="preserve">Rp. 4.809.800</t>
  </si>
  <si>
    <t xml:space="preserve">Rp. 4.718.168</t>
  </si>
  <si>
    <t xml:space="preserve">Rp. 4.672.360</t>
  </si>
  <si>
    <t xml:space="preserve">Rp. 4.626.553</t>
  </si>
  <si>
    <t xml:space="preserve">Top Up Instant✨</t>
  </si>
  <si>
    <t xml:space="preserve">5 (5+0) Diamonds</t>
  </si>
  <si>
    <t xml:space="preserve">10 (9+1) Diamonds</t>
  </si>
  <si>
    <t xml:space="preserve">12 (11+1) Diamonds</t>
  </si>
  <si>
    <t xml:space="preserve">14 (13+1) Diamonds</t>
  </si>
  <si>
    <t xml:space="preserve">15 (15+0) Diamonds</t>
  </si>
  <si>
    <t xml:space="preserve">17 (16+1) Diamonds</t>
  </si>
  <si>
    <t xml:space="preserve">18 (17+1) Diamonds</t>
  </si>
  <si>
    <t xml:space="preserve">19 (17+2) Diamonds</t>
  </si>
  <si>
    <t xml:space="preserve">20 (18+2) Diamonds</t>
  </si>
  <si>
    <t xml:space="preserve">22 (20+2) Diamonds</t>
  </si>
  <si>
    <t xml:space="preserve">28 (25+3) Diamonds</t>
  </si>
  <si>
    <t xml:space="preserve">30 (28+2) Diamonds</t>
  </si>
  <si>
    <t xml:space="preserve">33 (30+3) Diamonds</t>
  </si>
  <si>
    <t xml:space="preserve">36 (33+3) Diamonds</t>
  </si>
  <si>
    <t xml:space="preserve">44 (40+4) Diamonds</t>
  </si>
  <si>
    <t xml:space="preserve">45 (42+3) Diamonds</t>
  </si>
  <si>
    <t xml:space="preserve">46 (42+4) Diamonds</t>
  </si>
  <si>
    <t xml:space="preserve">50 (46+4) Diamonds</t>
  </si>
  <si>
    <t xml:space="preserve">54 (49+5) Diamonds</t>
  </si>
  <si>
    <t xml:space="preserve">56 (51+5) Diamonds</t>
  </si>
  <si>
    <t xml:space="preserve">59 (53+6) Diamonds</t>
  </si>
  <si>
    <t xml:space="preserve">60 (55+5) Diamonds</t>
  </si>
  <si>
    <t xml:space="preserve">64 (58+6) Diamonds</t>
  </si>
  <si>
    <t xml:space="preserve">67 (62+5) Diamonds</t>
  </si>
  <si>
    <t xml:space="preserve">71 (64+7) Diamonds</t>
  </si>
  <si>
    <t xml:space="preserve">74 (67+7) Diamonds</t>
  </si>
  <si>
    <t xml:space="preserve">78 (70+8) Diamonds</t>
  </si>
  <si>
    <t xml:space="preserve">80 (73+7) Diamonds</t>
  </si>
  <si>
    <t xml:space="preserve">85 (77+8) Diamonds</t>
  </si>
  <si>
    <t xml:space="preserve">88 (80+8) Diamonds</t>
  </si>
  <si>
    <t xml:space="preserve">89 (81+8) Diamonds</t>
  </si>
  <si>
    <t xml:space="preserve">92 (84+8) Diamonds</t>
  </si>
  <si>
    <t xml:space="preserve">98 (89+9) Diamonds</t>
  </si>
  <si>
    <t xml:space="preserve">100 (91+9) Diamonds</t>
  </si>
  <si>
    <t xml:space="preserve">110 (100+10) Diamonds</t>
  </si>
  <si>
    <t xml:space="preserve">113 (102+11) Diamonds</t>
  </si>
  <si>
    <t xml:space="preserve">116 (105+11) Diamonds</t>
  </si>
  <si>
    <t xml:space="preserve">129 (117+12) Diamonds</t>
  </si>
  <si>
    <t xml:space="preserve">148 (134+14) Diamonds</t>
  </si>
  <si>
    <t xml:space="preserve">170 (154+16) Diamonds</t>
  </si>
  <si>
    <t xml:space="preserve">176 (160+16) Diamonds</t>
  </si>
  <si>
    <t xml:space="preserve">184 (167+17) Diamonds</t>
  </si>
  <si>
    <t xml:space="preserve">222 (200+22) Diamonds</t>
  </si>
  <si>
    <t xml:space="preserve">240 (217+23) Diamonds</t>
  </si>
  <si>
    <t xml:space="preserve">241 (218+23) Diamonds</t>
  </si>
  <si>
    <t xml:space="preserve">277 (250+27) Diamonds</t>
  </si>
  <si>
    <t xml:space="preserve">284 (257+27) Diamonds</t>
  </si>
  <si>
    <t xml:space="preserve">296 (256+40) Diamonds</t>
  </si>
  <si>
    <t xml:space="preserve">305 (276+29) Diamonds</t>
  </si>
  <si>
    <t xml:space="preserve">370 (333+37) Diamonds</t>
  </si>
  <si>
    <t xml:space="preserve">384 (346+38) Diamonds</t>
  </si>
  <si>
    <t xml:space="preserve">408 (367+41) Diamonds</t>
  </si>
  <si>
    <t xml:space="preserve">518 (467+51) Diamonds</t>
  </si>
  <si>
    <t xml:space="preserve">568 (503+65) Diamonds</t>
  </si>
  <si>
    <t xml:space="preserve">716 (637+79) Diamonds</t>
  </si>
  <si>
    <t xml:space="preserve">750 (676+74) Diamonds</t>
  </si>
  <si>
    <t xml:space="preserve">790 (703+87) Diamonds</t>
  </si>
  <si>
    <t xml:space="preserve">875 (774+101) Diamonds</t>
  </si>
  <si>
    <t xml:space="preserve">966 (836+130) Diamonds</t>
  </si>
  <si>
    <t xml:space="preserve">1048 (936+112) Diamonds</t>
  </si>
  <si>
    <t xml:space="preserve">1067 (953+114) Diamonds</t>
  </si>
  <si>
    <t xml:space="preserve">1136 (1006+130) Diamonds</t>
  </si>
  <si>
    <t xml:space="preserve">1358 (1206+152) Diamonds</t>
  </si>
  <si>
    <t xml:space="preserve">1506 (1339+167) Diamonds</t>
  </si>
  <si>
    <t xml:space="preserve">1704 (1509+195) Diamonds</t>
  </si>
  <si>
    <t xml:space="preserve">2010 (1708+302) Diamonds</t>
  </si>
  <si>
    <t xml:space="preserve">2380 (2041+339) Diamonds</t>
  </si>
  <si>
    <t xml:space="preserve">2578 (2211+367) Diamonds</t>
  </si>
  <si>
    <t xml:space="preserve">2855 (2461+394) Diamonds</t>
  </si>
  <si>
    <t xml:space="preserve">3146 (2714+432) Diamonds</t>
  </si>
  <si>
    <t xml:space="preserve">3423 (2964+459) Diamonds</t>
  </si>
  <si>
    <t xml:space="preserve">3738 (3247+491) Diamonds</t>
  </si>
  <si>
    <t xml:space="preserve">4020 (3416+604) Diamonds</t>
  </si>
  <si>
    <t xml:space="preserve">4830 (4003+827) Diamonds</t>
  </si>
  <si>
    <t xml:space="preserve">4856 (4027+829) Diamonds</t>
  </si>
  <si>
    <t xml:space="preserve">4958 (4252+706) Diamonds</t>
  </si>
  <si>
    <t xml:space="preserve">5052 (4203+849) Diamonds</t>
  </si>
  <si>
    <t xml:space="preserve">5398 (4506+892) Diamonds</t>
  </si>
  <si>
    <t xml:space="preserve">5966 (5009+957) Diamonds</t>
  </si>
  <si>
    <t xml:space="preserve">6030 (5124+906) Diamonds</t>
  </si>
  <si>
    <t xml:space="preserve">6840 (5711+1129) Diamonds</t>
  </si>
  <si>
    <t xml:space="preserve">7210 (6044+1166) Diamonds</t>
  </si>
  <si>
    <t xml:space="preserve">7685 (6464+1221) Diamonds</t>
  </si>
  <si>
    <t xml:space="preserve">8040 (6832+1208) Diamonds</t>
  </si>
  <si>
    <t xml:space="preserve">8850 (7419+1431) Diamonds</t>
  </si>
  <si>
    <t xml:space="preserve">9660 (8006+1654) Diamonds</t>
  </si>
  <si>
    <t xml:space="preserve">10050 (8540+1510) Diamonds</t>
  </si>
  <si>
    <t xml:space="preserve">14490 (12009+2481) Diamonds</t>
  </si>
  <si>
    <t xml:space="preserve">16080 (13664+2416) Diamonds</t>
  </si>
  <si>
    <t xml:space="preserve">20100 (17080+3020) Diamonds</t>
  </si>
  <si>
    <t xml:space="preserve">592 Diamonds ( 512 + 80 Bonus )</t>
  </si>
  <si>
    <t xml:space="preserve">Rp 163.734,-</t>
  </si>
  <si>
    <t xml:space="preserve">10% OFF</t>
  </si>
  <si>
    <t xml:space="preserve">6030 Diamonds ( 5124 + 906 Bonus )</t>
  </si>
  <si>
    <t xml:space="preserve">Rp 1.579.837,-</t>
  </si>
  <si>
    <t xml:space="preserve">20% OFF</t>
  </si>
  <si>
    <t xml:space="preserve">Weekly Diamond Pass x5</t>
  </si>
  <si>
    <t xml:space="preserve">Rp 144.924,-</t>
  </si>
  <si>
    <t xml:space="preserve">Weekly Diamond Pass x3</t>
  </si>
  <si>
    <t xml:space="preserve">Rp 86.955,-</t>
  </si>
  <si>
    <t xml:space="preserve">Weekly Diamond Pass x2</t>
  </si>
  <si>
    <t xml:space="preserve">Rp 57.270,-</t>
  </si>
  <si>
    <t xml:space="preserve">Weekly Diamond Pass</t>
  </si>
  <si>
    <t xml:space="preserve">Rp 28.686,-</t>
  </si>
  <si>
    <t xml:space="preserve">19 Diamonds ( 17 + 2 Bonus )</t>
  </si>
  <si>
    <t xml:space="preserve">Rp 5.548,-</t>
  </si>
  <si>
    <t xml:space="preserve">44 Diamonds ( 40 + 4 Bonus )</t>
  </si>
  <si>
    <t xml:space="preserve">Rp 12.103,-</t>
  </si>
  <si>
    <t xml:space="preserve">59 Diamonds ( 53 + 6 Bonus )</t>
  </si>
  <si>
    <t xml:space="preserve">Rp 16.152,-</t>
  </si>
  <si>
    <t xml:space="preserve">85 Diamonds ( 77 + 8 Bonus )</t>
  </si>
  <si>
    <t xml:space="preserve">Rp 23.217,-</t>
  </si>
  <si>
    <t xml:space="preserve">170 Diamonds ( 154 + 16 Bonus )</t>
  </si>
  <si>
    <t xml:space="preserve">Rp 47.035,-</t>
  </si>
  <si>
    <t xml:space="preserve">240 Diamonds ( 217 + 23 Bonus )</t>
  </si>
  <si>
    <t xml:space="preserve">Rp 65.539,-</t>
  </si>
  <si>
    <t xml:space="preserve">296 Diamonds ( 256 + 40 Bonus )</t>
  </si>
  <si>
    <t xml:space="preserve">Rp 81.649,-</t>
  </si>
  <si>
    <t xml:space="preserve">875 Diamonds ( 774 + 101 Bonus )</t>
  </si>
  <si>
    <t xml:space="preserve">Rp 235.887,-</t>
  </si>
  <si>
    <t xml:space="preserve">1443 Diamonds ( 1277 + 166 Bonus )</t>
  </si>
  <si>
    <t xml:space="preserve">Rp 385.171,-</t>
  </si>
  <si>
    <t xml:space="preserve">1750 Diamond (1548 + 202 Bonus )</t>
  </si>
  <si>
    <t xml:space="preserve">Rp 467.774,-</t>
  </si>
  <si>
    <t xml:space="preserve">2010 Diamonds ( 1708 + 302 Bonus )</t>
  </si>
  <si>
    <t xml:space="preserve">Rp 511.712,-</t>
  </si>
  <si>
    <t xml:space="preserve">2885 Diamond (2482 + 403 Bonus )</t>
  </si>
  <si>
    <t xml:space="preserve">Rp 736.678,-</t>
  </si>
  <si>
    <t xml:space="preserve">3453 Diamonds ( 2985 + 468 Bonus )</t>
  </si>
  <si>
    <t xml:space="preserve">Rp 895.105,-</t>
  </si>
  <si>
    <t xml:space="preserve">4020 Diamonds (3416 + 604 Bonus )</t>
  </si>
  <si>
    <t xml:space="preserve">Rp 1.024.146,-</t>
  </si>
  <si>
    <t xml:space="preserve">4830 Diamonds ( 4003 + 827 Bonus )</t>
  </si>
  <si>
    <t xml:space="preserve">Rp 1.227.864,-</t>
  </si>
  <si>
    <t xml:space="preserve">5568 Diamonds (4660 + 908 Bonus )</t>
  </si>
  <si>
    <t xml:space="preserve">Rp 1.415.458,-</t>
  </si>
  <si>
    <t xml:space="preserve">6397 Diamonds ( 5491 + 947 Bonus )</t>
  </si>
  <si>
    <t xml:space="preserve">Rp 1.686.045,-</t>
  </si>
  <si>
    <t xml:space="preserve">6840 Diamonds ( 5711 + 1129 Bonus )</t>
  </si>
  <si>
    <t xml:space="preserve">Rp 1.731.619,-</t>
  </si>
  <si>
    <t xml:space="preserve">7723 Diamonds (6487 + 1236 Bonus )</t>
  </si>
  <si>
    <t xml:space="preserve">Rp 1.971.576,-</t>
  </si>
  <si>
    <t xml:space="preserve">8850 Diamonds ( 7419 + 1431 Bonus )</t>
  </si>
  <si>
    <t xml:space="preserve">Rp 2.240.952,-</t>
  </si>
  <si>
    <t xml:space="preserve">Rp 2.250.952,-</t>
  </si>
  <si>
    <t xml:space="preserve">9588 Diamonds (8076 + 1512 Bonus )</t>
  </si>
  <si>
    <t xml:space="preserve">Rp 2.445.768,-</t>
  </si>
  <si>
    <t xml:space="preserve">14814 Diamonds (12290 + 2524 Bonus )</t>
  </si>
  <si>
    <t xml:space="preserve">Rp 3.759.514,-</t>
  </si>
  <si>
    <t xml:space="preserve">16080 Diamonds ( 13664 + 2416 Bonus )</t>
  </si>
  <si>
    <t xml:space="preserve">Rp 4.084.657,-</t>
  </si>
  <si>
    <t xml:space="preserve">18510 Diamonds (15425 + 3085 Bonus )</t>
  </si>
  <si>
    <t xml:space="preserve">Rp 4.685.525,-</t>
  </si>
  <si>
    <t xml:space="preserve">21330 Diamonds (17720 + 3610 Bonus )</t>
  </si>
  <si>
    <t xml:space="preserve">Rp 5.428.479,-</t>
  </si>
  <si>
    <t xml:space="preserve">FF5-S9</t>
  </si>
  <si>
    <t xml:space="preserve">Free Fire</t>
  </si>
  <si>
    <t xml:space="preserve">5 Diamond</t>
  </si>
  <si>
    <t xml:space="preserve">Rp. 900</t>
  </si>
  <si>
    <t xml:space="preserve">Rp. 822</t>
  </si>
  <si>
    <t xml:space="preserve">Rp. 814</t>
  </si>
  <si>
    <t xml:space="preserve">Rp. 806</t>
  </si>
  <si>
    <t xml:space="preserve">FF10-S9</t>
  </si>
  <si>
    <t xml:space="preserve">10 Diamond</t>
  </si>
  <si>
    <t xml:space="preserve">Rp. 1.700</t>
  </si>
  <si>
    <t xml:space="preserve">Rp. 1.638</t>
  </si>
  <si>
    <t xml:space="preserve">Rp. 1.622</t>
  </si>
  <si>
    <t xml:space="preserve">Rp. 1.606</t>
  </si>
  <si>
    <t xml:space="preserve">FF20-S9</t>
  </si>
  <si>
    <t xml:space="preserve">20 Diamond</t>
  </si>
  <si>
    <t xml:space="preserve">Rp. 3.300</t>
  </si>
  <si>
    <t xml:space="preserve">Rp. 3.199</t>
  </si>
  <si>
    <t xml:space="preserve">Rp. 3.168</t>
  </si>
  <si>
    <t xml:space="preserve">Rp. 3.137</t>
  </si>
  <si>
    <t xml:space="preserve">FF30-S9</t>
  </si>
  <si>
    <t xml:space="preserve">30 Diamond</t>
  </si>
  <si>
    <t xml:space="preserve">Rp. 4.900</t>
  </si>
  <si>
    <t xml:space="preserve">Rp. 4.827</t>
  </si>
  <si>
    <t xml:space="preserve">Rp. 4.780</t>
  </si>
  <si>
    <t xml:space="preserve">Rp. 4.733</t>
  </si>
  <si>
    <t xml:space="preserve">FF40-S9</t>
  </si>
  <si>
    <t xml:space="preserve">40 Diamond</t>
  </si>
  <si>
    <t xml:space="preserve">Rp. 6.500</t>
  </si>
  <si>
    <t xml:space="preserve">Rp. 6.355</t>
  </si>
  <si>
    <t xml:space="preserve">Rp. 6.293</t>
  </si>
  <si>
    <t xml:space="preserve">Rp. 6.231</t>
  </si>
  <si>
    <t xml:space="preserve">FF50-S9</t>
  </si>
  <si>
    <t xml:space="preserve">50 Diamond</t>
  </si>
  <si>
    <t xml:space="preserve">Rp. 6.700</t>
  </si>
  <si>
    <t xml:space="preserve">Rp. 6.538</t>
  </si>
  <si>
    <t xml:space="preserve">Rp. 6.474</t>
  </si>
  <si>
    <t xml:space="preserve">Rp. 6.411</t>
  </si>
  <si>
    <t xml:space="preserve">FF55-S9</t>
  </si>
  <si>
    <t xml:space="preserve">55 Diamond</t>
  </si>
  <si>
    <t xml:space="preserve">Rp. 7.500</t>
  </si>
  <si>
    <t xml:space="preserve">Rp. 7.355</t>
  </si>
  <si>
    <t xml:space="preserve">Rp. 7.283</t>
  </si>
  <si>
    <t xml:space="preserve">Rp. 7.212</t>
  </si>
  <si>
    <t xml:space="preserve">FF100-S9</t>
  </si>
  <si>
    <t xml:space="preserve">100 Diamond</t>
  </si>
  <si>
    <t xml:space="preserve">Rp. 13.050</t>
  </si>
  <si>
    <t xml:space="preserve">Rp. 12.923</t>
  </si>
  <si>
    <t xml:space="preserve">Rp. 12.796</t>
  </si>
  <si>
    <t xml:space="preserve">FF140-S9</t>
  </si>
  <si>
    <t xml:space="preserve">140 Diamond</t>
  </si>
  <si>
    <t xml:space="preserve">Rp. 17.300</t>
  </si>
  <si>
    <t xml:space="preserve">Rp. 17.088</t>
  </si>
  <si>
    <t xml:space="preserve">Rp. 16.922</t>
  </si>
  <si>
    <t xml:space="preserve">Rp. 16.756</t>
  </si>
  <si>
    <t xml:space="preserve">FFMM-S9</t>
  </si>
  <si>
    <t xml:space="preserve">Membership Mingguan</t>
  </si>
  <si>
    <t xml:space="preserve">Rp. 27.100</t>
  </si>
  <si>
    <t xml:space="preserve">Rp. 26.813</t>
  </si>
  <si>
    <t xml:space="preserve">Rp. 26.553</t>
  </si>
  <si>
    <t xml:space="preserve">Rp. 26.293</t>
  </si>
  <si>
    <t xml:space="preserve">FF210-S9</t>
  </si>
  <si>
    <t xml:space="preserve">210 Diamond</t>
  </si>
  <si>
    <t xml:space="preserve">Rp. 27.203</t>
  </si>
  <si>
    <t xml:space="preserve">Rp. 26.939</t>
  </si>
  <si>
    <t xml:space="preserve">Rp. 26.675</t>
  </si>
  <si>
    <t xml:space="preserve">FFBPC-S9</t>
  </si>
  <si>
    <t xml:space="preserve">Free Fire BP Card</t>
  </si>
  <si>
    <t xml:space="preserve">Rp. 43.900</t>
  </si>
  <si>
    <t xml:space="preserve">Rp. 43.466</t>
  </si>
  <si>
    <t xml:space="preserve">Rp. 43.044</t>
  </si>
  <si>
    <t xml:space="preserve">Rp. 42.622</t>
  </si>
  <si>
    <t xml:space="preserve">FF350-S9</t>
  </si>
  <si>
    <t xml:space="preserve">350 Diamond</t>
  </si>
  <si>
    <t xml:space="preserve">Rp. 44.200</t>
  </si>
  <si>
    <t xml:space="preserve">Rp. 43.684</t>
  </si>
  <si>
    <t xml:space="preserve">Rp. 43.260</t>
  </si>
  <si>
    <t xml:space="preserve">Rp. 42.836</t>
  </si>
  <si>
    <t xml:space="preserve">FF545-S9</t>
  </si>
  <si>
    <t xml:space="preserve">545 Diamond</t>
  </si>
  <si>
    <t xml:space="preserve">Rp. 68.700</t>
  </si>
  <si>
    <t xml:space="preserve">Rp. 68.004</t>
  </si>
  <si>
    <t xml:space="preserve">Rp. 67.344</t>
  </si>
  <si>
    <t xml:space="preserve">Rp. 66.684</t>
  </si>
  <si>
    <t xml:space="preserve">FFMB-S9</t>
  </si>
  <si>
    <t xml:space="preserve">Membership Bulanan</t>
  </si>
  <si>
    <t xml:space="preserve">Rp. 81.300</t>
  </si>
  <si>
    <t xml:space="preserve">Rp. 80.440</t>
  </si>
  <si>
    <t xml:space="preserve">Rp. 79.659</t>
  </si>
  <si>
    <t xml:space="preserve">Rp. 78.878</t>
  </si>
  <si>
    <t xml:space="preserve">FF860-S9</t>
  </si>
  <si>
    <t xml:space="preserve">860 Diamond</t>
  </si>
  <si>
    <t xml:space="preserve">Rp. 113.300</t>
  </si>
  <si>
    <t xml:space="preserve">Rp. 112.193</t>
  </si>
  <si>
    <t xml:space="preserve">Rp. 111.104</t>
  </si>
  <si>
    <t xml:space="preserve">Rp. 110.015</t>
  </si>
  <si>
    <t xml:space="preserve">FF1075-S9</t>
  </si>
  <si>
    <t xml:space="preserve">1075 Diamond</t>
  </si>
  <si>
    <t xml:space="preserve">Rp. 134.100</t>
  </si>
  <si>
    <t xml:space="preserve">Rp. 132.725</t>
  </si>
  <si>
    <t xml:space="preserve">Rp. 131.437</t>
  </si>
  <si>
    <t xml:space="preserve">Rp. 130.148</t>
  </si>
  <si>
    <t xml:space="preserve">FF1200-S9</t>
  </si>
  <si>
    <t xml:space="preserve">1200 Diamond</t>
  </si>
  <si>
    <t xml:space="preserve">Rp. 152.600</t>
  </si>
  <si>
    <t xml:space="preserve">Rp. 151.081</t>
  </si>
  <si>
    <t xml:space="preserve">Rp. 149.614</t>
  </si>
  <si>
    <t xml:space="preserve">Rp. 148.147</t>
  </si>
  <si>
    <t xml:space="preserve">FF1450-S9</t>
  </si>
  <si>
    <t xml:space="preserve">1450 Diamond</t>
  </si>
  <si>
    <t xml:space="preserve">Rp. 179.900</t>
  </si>
  <si>
    <t xml:space="preserve">Rp. 178.147</t>
  </si>
  <si>
    <t xml:space="preserve">Rp. 176.418</t>
  </si>
  <si>
    <t xml:space="preserve">Rp. 174.688</t>
  </si>
  <si>
    <t xml:space="preserve">FF2000-S9</t>
  </si>
  <si>
    <t xml:space="preserve">2000 Diamond</t>
  </si>
  <si>
    <t xml:space="preserve">Rp. 250.200</t>
  </si>
  <si>
    <t xml:space="preserve">Rp. 247.755</t>
  </si>
  <si>
    <t xml:space="preserve">Rp. 245.349</t>
  </si>
  <si>
    <t xml:space="preserve">Rp. 242.944</t>
  </si>
  <si>
    <t xml:space="preserve">FF3310-S9</t>
  </si>
  <si>
    <t xml:space="preserve">3310 Diamond</t>
  </si>
  <si>
    <t xml:space="preserve">Rp. 398.900</t>
  </si>
  <si>
    <t xml:space="preserve">Rp. 395.047</t>
  </si>
  <si>
    <t xml:space="preserve">Rp. 391.211</t>
  </si>
  <si>
    <t xml:space="preserve">Rp. 387.376</t>
  </si>
  <si>
    <t xml:space="preserve">FF4000-S9</t>
  </si>
  <si>
    <t xml:space="preserve">4000 Diamond</t>
  </si>
  <si>
    <t xml:space="preserve">Rp. 480.700</t>
  </si>
  <si>
    <t xml:space="preserve">Rp. 476.042</t>
  </si>
  <si>
    <t xml:space="preserve">Rp. 471.420</t>
  </si>
  <si>
    <t xml:space="preserve">Rp. 466.798</t>
  </si>
  <si>
    <t xml:space="preserve">FF7290-S9</t>
  </si>
  <si>
    <t xml:space="preserve">7290 Diamond</t>
  </si>
  <si>
    <t xml:space="preserve">Rp. 895.900</t>
  </si>
  <si>
    <t xml:space="preserve">Rp. 887.191</t>
  </si>
  <si>
    <t xml:space="preserve">Rp. 878.577</t>
  </si>
  <si>
    <t xml:space="preserve">Rp. 869.964</t>
  </si>
  <si>
    <t xml:space="preserve">FF36500-S9</t>
  </si>
  <si>
    <t xml:space="preserve">36500 Diamond</t>
  </si>
  <si>
    <t xml:space="preserve">Rp. 4.779.300</t>
  </si>
  <si>
    <t xml:space="preserve">Rp. 4.733.251</t>
  </si>
  <si>
    <t xml:space="preserve">Rp. 4.687.297</t>
  </si>
  <si>
    <t xml:space="preserve">Rp. 4.641.343</t>
  </si>
  <si>
    <t xml:space="preserve">FF73100-S9</t>
  </si>
  <si>
    <t xml:space="preserve">73100 Diamond</t>
  </si>
  <si>
    <t xml:space="preserve">Rp. 9.464.100</t>
  </si>
  <si>
    <t xml:space="preserve">Rp. 9.373.026</t>
  </si>
  <si>
    <t xml:space="preserve">Rp. 9.282.026</t>
  </si>
  <si>
    <t xml:space="preserve">Rp. 9.191.026</t>
  </si>
  <si>
    <t xml:space="preserve">12 Diamonds</t>
  </si>
  <si>
    <t xml:space="preserve">15 Diamonds</t>
  </si>
  <si>
    <t xml:space="preserve">20 Diamonds</t>
  </si>
  <si>
    <t xml:space="preserve">25 Diamonds</t>
  </si>
  <si>
    <t xml:space="preserve">30 Diamonds</t>
  </si>
  <si>
    <t xml:space="preserve">50 Diamonds</t>
  </si>
  <si>
    <t xml:space="preserve">55 Diamonds</t>
  </si>
  <si>
    <t xml:space="preserve">70 Diamonds</t>
  </si>
  <si>
    <t xml:space="preserve">75 Diamonds</t>
  </si>
  <si>
    <t xml:space="preserve">80 Diamonds</t>
  </si>
  <si>
    <t xml:space="preserve">90 Diamonds</t>
  </si>
  <si>
    <t xml:space="preserve">95 Diamonds</t>
  </si>
  <si>
    <t xml:space="preserve">100 Diamonds</t>
  </si>
  <si>
    <t xml:space="preserve">120 Diamonds</t>
  </si>
  <si>
    <t xml:space="preserve">125 Diamonds</t>
  </si>
  <si>
    <t xml:space="preserve">140 Diamonds</t>
  </si>
  <si>
    <t xml:space="preserve">145 Diamonds</t>
  </si>
  <si>
    <t xml:space="preserve">150 Diamonds</t>
  </si>
  <si>
    <t xml:space="preserve">160 Diamonds</t>
  </si>
  <si>
    <t xml:space="preserve">170 Diamonds</t>
  </si>
  <si>
    <t xml:space="preserve">190 Diamonds</t>
  </si>
  <si>
    <t xml:space="preserve">210 Diamonds</t>
  </si>
  <si>
    <t xml:space="preserve">230 Diamonds</t>
  </si>
  <si>
    <t xml:space="preserve">260 Diamonds</t>
  </si>
  <si>
    <t xml:space="preserve">280 Diamonds</t>
  </si>
  <si>
    <t xml:space="preserve">300 Diamonds</t>
  </si>
  <si>
    <t xml:space="preserve">355 Diamonds</t>
  </si>
  <si>
    <t xml:space="preserve">360 Diamonds</t>
  </si>
  <si>
    <t xml:space="preserve">375 Diamonds</t>
  </si>
  <si>
    <t xml:space="preserve">405 Diamonds</t>
  </si>
  <si>
    <t xml:space="preserve">425 Diamonds</t>
  </si>
  <si>
    <t xml:space="preserve">455 Diamonds</t>
  </si>
  <si>
    <t xml:space="preserve">475 Diamonds</t>
  </si>
  <si>
    <t xml:space="preserve">495 Diamonds</t>
  </si>
  <si>
    <t xml:space="preserve">500 Diamonds</t>
  </si>
  <si>
    <t xml:space="preserve">512 Diamonds</t>
  </si>
  <si>
    <t xml:space="preserve">515 Diamonds</t>
  </si>
  <si>
    <t xml:space="preserve">520 Diamonds</t>
  </si>
  <si>
    <t xml:space="preserve">545 Diamonds</t>
  </si>
  <si>
    <t xml:space="preserve">565 Diamonds</t>
  </si>
  <si>
    <t xml:space="preserve">600 Diamonds</t>
  </si>
  <si>
    <t xml:space="preserve">635 Diamonds</t>
  </si>
  <si>
    <t xml:space="preserve">645 Diamonds</t>
  </si>
  <si>
    <t xml:space="preserve">655 Diamonds</t>
  </si>
  <si>
    <t xml:space="preserve">720 Diamonds</t>
  </si>
  <si>
    <t xml:space="preserve">725 Diamonds</t>
  </si>
  <si>
    <t xml:space="preserve">740 Diamonds</t>
  </si>
  <si>
    <t xml:space="preserve">770 Diamonds</t>
  </si>
  <si>
    <t xml:space="preserve">790 Diamonds</t>
  </si>
  <si>
    <t xml:space="preserve">800 Diamonds</t>
  </si>
  <si>
    <t xml:space="preserve">820 Diamonds</t>
  </si>
  <si>
    <t xml:space="preserve">840 Diamonds</t>
  </si>
  <si>
    <t xml:space="preserve">860 Diamonds</t>
  </si>
  <si>
    <t xml:space="preserve">910 Diamonds</t>
  </si>
  <si>
    <t xml:space="preserve">930 Diamonds</t>
  </si>
  <si>
    <t xml:space="preserve">1000 Diamonds</t>
  </si>
  <si>
    <t xml:space="preserve">1050 Diamonds</t>
  </si>
  <si>
    <t xml:space="preserve">1075 Diamonds</t>
  </si>
  <si>
    <t xml:space="preserve">1080 Diamonds</t>
  </si>
  <si>
    <t xml:space="preserve">1125 Diamonds</t>
  </si>
  <si>
    <t xml:space="preserve">1145 Diamonds</t>
  </si>
  <si>
    <t xml:space="preserve">1200 Diamonds</t>
  </si>
  <si>
    <t xml:space="preserve">1215 Diamonds</t>
  </si>
  <si>
    <t xml:space="preserve">1300 Diamonds</t>
  </si>
  <si>
    <t xml:space="preserve">1450 Diamonds</t>
  </si>
  <si>
    <t xml:space="preserve">1490 Diamonds</t>
  </si>
  <si>
    <t xml:space="preserve">1510 Diamonds</t>
  </si>
  <si>
    <t xml:space="preserve">1580 Diamonds</t>
  </si>
  <si>
    <t xml:space="preserve">1795 Diamonds</t>
  </si>
  <si>
    <t xml:space="preserve">1800 Diamonds</t>
  </si>
  <si>
    <t xml:space="preserve">1875 Diamonds</t>
  </si>
  <si>
    <t xml:space="preserve">1975 Diamonds</t>
  </si>
  <si>
    <t xml:space="preserve">2000 Diamonds</t>
  </si>
  <si>
    <t xml:space="preserve">2005 Diamonds</t>
  </si>
  <si>
    <t xml:space="preserve">2020 Diamonds</t>
  </si>
  <si>
    <t xml:space="preserve">2100 Diamonds</t>
  </si>
  <si>
    <t xml:space="preserve">2140 Diamonds</t>
  </si>
  <si>
    <t xml:space="preserve">2180 Diamonds</t>
  </si>
  <si>
    <t xml:space="preserve">2190 Diamonds</t>
  </si>
  <si>
    <t xml:space="preserve">2200 Diamonds</t>
  </si>
  <si>
    <t xml:space="preserve">2210 Diamonds</t>
  </si>
  <si>
    <t xml:space="preserve">2225 Diamonds</t>
  </si>
  <si>
    <t xml:space="preserve">2280 Diamonds</t>
  </si>
  <si>
    <t xml:space="preserve">2350 Diamonds</t>
  </si>
  <si>
    <t xml:space="preserve">2355 Diamonds</t>
  </si>
  <si>
    <t xml:space="preserve">2400 Diamonds</t>
  </si>
  <si>
    <t xml:space="preserve">2575 Diamonds</t>
  </si>
  <si>
    <t xml:space="preserve">2720 Diamonds</t>
  </si>
  <si>
    <t xml:space="preserve">2750 Diamonds</t>
  </si>
  <si>
    <t xml:space="preserve">3000 Diamonds</t>
  </si>
  <si>
    <t xml:space="preserve">3310 Diamonds</t>
  </si>
  <si>
    <t xml:space="preserve">3640 Diamonds</t>
  </si>
  <si>
    <t xml:space="preserve">3675 Diamonds</t>
  </si>
  <si>
    <t xml:space="preserve">3800 Diamonds</t>
  </si>
  <si>
    <t xml:space="preserve">4000 Diamonds</t>
  </si>
  <si>
    <t xml:space="preserve">4050 Diamonds</t>
  </si>
  <si>
    <t xml:space="preserve">4340 Diamonds</t>
  </si>
  <si>
    <t xml:space="preserve">4450 Diamonds</t>
  </si>
  <si>
    <t xml:space="preserve">4720 Diamonds</t>
  </si>
  <si>
    <t xml:space="preserve">4800 Diamonds</t>
  </si>
  <si>
    <t xml:space="preserve">4850 Diamonds</t>
  </si>
  <si>
    <t xml:space="preserve">5500 Diamonds</t>
  </si>
  <si>
    <t xml:space="preserve">5600 Diamonds</t>
  </si>
  <si>
    <t xml:space="preserve">6000 Diamonds</t>
  </si>
  <si>
    <t xml:space="preserve">6480 Diamonds</t>
  </si>
  <si>
    <t xml:space="preserve">6550 Diamonds</t>
  </si>
  <si>
    <t xml:space="preserve">6900 Diamonds</t>
  </si>
  <si>
    <t xml:space="preserve">7290 Diamonds</t>
  </si>
  <si>
    <t xml:space="preserve">7295 Diamonds</t>
  </si>
  <si>
    <t xml:space="preserve">7310 Diamonds</t>
  </si>
  <si>
    <t xml:space="preserve">7340 Diamonds</t>
  </si>
  <si>
    <t xml:space="preserve">7360 Diamonds</t>
  </si>
  <si>
    <t xml:space="preserve">7430 Diamonds</t>
  </si>
  <si>
    <t xml:space="preserve">7645 Diamonds</t>
  </si>
  <si>
    <t xml:space="preserve">7650 Diamonds</t>
  </si>
  <si>
    <t xml:space="preserve">8010 Diamonds</t>
  </si>
  <si>
    <t xml:space="preserve">8730 Diamonds</t>
  </si>
  <si>
    <t xml:space="preserve">9290 Diamonds</t>
  </si>
  <si>
    <t xml:space="preserve">9800 Diamonds</t>
  </si>
  <si>
    <t xml:space="preserve">14580 Diamonds</t>
  </si>
  <si>
    <t xml:space="preserve">36500 Diamonds</t>
  </si>
  <si>
    <t xml:space="preserve">37050 Diamonds</t>
  </si>
  <si>
    <t xml:space="preserve">73100 Diamonds</t>
  </si>
  <si>
    <t xml:space="preserve">Rp 282.827,-</t>
  </si>
  <si>
    <t xml:space="preserve">15% OFF</t>
  </si>
  <si>
    <t xml:space="preserve">Rp 4.026,-</t>
  </si>
  <si>
    <t xml:space="preserve">Rp 9.059,-</t>
  </si>
  <si>
    <t xml:space="preserve">Rp 10.999,-</t>
  </si>
  <si>
    <t xml:space="preserve">Rp 19.910,-</t>
  </si>
  <si>
    <t xml:space="preserve">355 Diamond</t>
  </si>
  <si>
    <t xml:space="preserve">Rp 50.325,-</t>
  </si>
  <si>
    <t xml:space="preserve">720 Diamond</t>
  </si>
  <si>
    <t xml:space="preserve">Rp 100.650,-</t>
  </si>
  <si>
    <t xml:space="preserve">Rp 151.982,-</t>
  </si>
  <si>
    <t xml:space="preserve">Rp 203.313,-</t>
  </si>
  <si>
    <t xml:space="preserve">Mingguan Membership</t>
  </si>
  <si>
    <t xml:space="preserve">Rp 30.451,-</t>
  </si>
  <si>
    <t xml:space="preserve">Bulanan Membership</t>
  </si>
  <si>
    <t xml:space="preserve">Rp 91.350,-</t>
  </si>
  <si>
    <t xml:space="preserve">All Region</t>
  </si>
  <si>
    <t xml:space="preserve">60 UC</t>
  </si>
  <si>
    <t xml:space="preserve">325 UC</t>
  </si>
  <si>
    <t xml:space="preserve">660 UC</t>
  </si>
  <si>
    <t xml:space="preserve">1800 UC</t>
  </si>
  <si>
    <t xml:space="preserve">3850 UC</t>
  </si>
  <si>
    <t xml:space="preserve">8100 UC</t>
  </si>
  <si>
    <t xml:space="preserve">Region Indo</t>
  </si>
  <si>
    <t xml:space="preserve">60 UC (ID)</t>
  </si>
  <si>
    <t xml:space="preserve">120 UC (ID)</t>
  </si>
  <si>
    <t xml:space="preserve">180 UC (ID)</t>
  </si>
  <si>
    <t xml:space="preserve">240 UC (ID)</t>
  </si>
  <si>
    <t xml:space="preserve">325 (300+25) UC (ID)</t>
  </si>
  <si>
    <t xml:space="preserve">385 (360+25) UC (ID)</t>
  </si>
  <si>
    <t xml:space="preserve">445 (420+25) UC (ID)</t>
  </si>
  <si>
    <t xml:space="preserve">505 (480+25) UC (ID)</t>
  </si>
  <si>
    <t xml:space="preserve">565 (540+25) UC (ID)</t>
  </si>
  <si>
    <t xml:space="preserve">660 (600+60) UC (ID)</t>
  </si>
  <si>
    <t xml:space="preserve">720 (660+60) UC (ID)</t>
  </si>
  <si>
    <t xml:space="preserve">780 (720+60) UC (ID)</t>
  </si>
  <si>
    <t xml:space="preserve">840 (780+60) UC (ID)</t>
  </si>
  <si>
    <t xml:space="preserve">900 (840+60) UC (ID)</t>
  </si>
  <si>
    <t xml:space="preserve">985 (900+85) UC (ID)</t>
  </si>
  <si>
    <t xml:space="preserve">1105 (1020+85) UC (ID)</t>
  </si>
  <si>
    <t xml:space="preserve">1165 (1080+85) UC (ID)</t>
  </si>
  <si>
    <t xml:space="preserve">1320 (1200+120) UC (ID)</t>
  </si>
  <si>
    <t xml:space="preserve">1500 (1380+120) UC (ID)</t>
  </si>
  <si>
    <t xml:space="preserve">1800 (1500+300) UC (ID)</t>
  </si>
  <si>
    <t xml:space="preserve">1920 (1620+300) UC (ID)</t>
  </si>
  <si>
    <t xml:space="preserve">1980 (1680+300) UC (ID)</t>
  </si>
  <si>
    <t xml:space="preserve">2125 (1800+325) UC (ID)</t>
  </si>
  <si>
    <t xml:space="preserve">2460 (2100+360) UC (ID)</t>
  </si>
  <si>
    <t xml:space="preserve">2785 (2400+385) UC (ID)</t>
  </si>
  <si>
    <t xml:space="preserve">3120 (2700+420) UC (ID)</t>
  </si>
  <si>
    <t xml:space="preserve">3850 (3000+850) UC (ID)</t>
  </si>
  <si>
    <t xml:space="preserve">4030 (3180+850) UC (ID)</t>
  </si>
  <si>
    <t xml:space="preserve">4175 (3300+875) UC (ID)</t>
  </si>
  <si>
    <t xml:space="preserve">4510 (3600+910) UC (ID)</t>
  </si>
  <si>
    <t xml:space="preserve">4835 (3900+935) UC (ID)</t>
  </si>
  <si>
    <t xml:space="preserve">5170 (4200+970) UC (ID)</t>
  </si>
  <si>
    <t xml:space="preserve">5650 (4500+1150) UC (ID)</t>
  </si>
  <si>
    <t xml:space="preserve">5975 (4800+1175) UC (ID)</t>
  </si>
  <si>
    <t xml:space="preserve">6310 (5100+1210) UC (ID)</t>
  </si>
  <si>
    <t xml:space="preserve">6635 (5400+1235) UC (ID)</t>
  </si>
  <si>
    <t xml:space="preserve">6970 (5700+1270) UC (ID)</t>
  </si>
  <si>
    <t xml:space="preserve">8100 (6000+2100) UC (ID)</t>
  </si>
  <si>
    <t xml:space="preserve">Pubg Mobile</t>
  </si>
  <si>
    <t xml:space="preserve">Rp. 17.400</t>
  </si>
  <si>
    <t xml:space="preserve">Rp. 17.047</t>
  </si>
  <si>
    <t xml:space="preserve">Rp. 16.726</t>
  </si>
  <si>
    <t xml:space="preserve">Rp. 16.404</t>
  </si>
  <si>
    <t xml:space="preserve">120 UC</t>
  </si>
  <si>
    <t xml:space="preserve">Rp. 34.800</t>
  </si>
  <si>
    <t xml:space="preserve">Rp. 33.450</t>
  </si>
  <si>
    <t xml:space="preserve">Rp. 32.807</t>
  </si>
  <si>
    <t xml:space="preserve">300 + 25 Bonus UC</t>
  </si>
  <si>
    <t xml:space="preserve">Rp. 87.700</t>
  </si>
  <si>
    <t xml:space="preserve">Rp. 86.008</t>
  </si>
  <si>
    <t xml:space="preserve">Rp. 84.385</t>
  </si>
  <si>
    <t xml:space="preserve">Rp. 82.762</t>
  </si>
  <si>
    <t xml:space="preserve">600 + 60 Bonus UC</t>
  </si>
  <si>
    <t xml:space="preserve">Rp. 175.500</t>
  </si>
  <si>
    <t xml:space="preserve">Rp. 172.209</t>
  </si>
  <si>
    <t xml:space="preserve">Rp. 168.960</t>
  </si>
  <si>
    <t xml:space="preserve">Rp. 165.711</t>
  </si>
  <si>
    <t xml:space="preserve">3000 + 850 Bonus UC</t>
  </si>
  <si>
    <t xml:space="preserve">Rp. 878.100</t>
  </si>
  <si>
    <t xml:space="preserve">Rp. 861.819</t>
  </si>
  <si>
    <t xml:space="preserve">Rp. 845.558</t>
  </si>
  <si>
    <t xml:space="preserve">Rp. 829.297</t>
  </si>
  <si>
    <t xml:space="preserve">6000 + 2100 Bonus UC</t>
  </si>
  <si>
    <t xml:space="preserve">Rp. 1.756.400</t>
  </si>
  <si>
    <t xml:space="preserve">Rp. 1.723.831</t>
  </si>
  <si>
    <t xml:space="preserve">Rp. 1.691.306</t>
  </si>
  <si>
    <t xml:space="preserve">Rp. 1.658.781</t>
  </si>
  <si>
    <t xml:space="preserve">12000 + 4200 Bonus UC</t>
  </si>
  <si>
    <t xml:space="preserve">Rp. 3.512.800</t>
  </si>
  <si>
    <t xml:space="preserve">Rp. 3.447.660</t>
  </si>
  <si>
    <t xml:space="preserve">Rp. 3.382.610</t>
  </si>
  <si>
    <t xml:space="preserve">Rp. 3.317.560</t>
  </si>
  <si>
    <t xml:space="preserve">18000 + 6300 Bonus UC</t>
  </si>
  <si>
    <t xml:space="preserve">Rp. 5.269.100</t>
  </si>
  <si>
    <t xml:space="preserve">Rp. 5.171.490</t>
  </si>
  <si>
    <t xml:space="preserve">Rp. 5.073.915</t>
  </si>
  <si>
    <t xml:space="preserve">Rp. 4.976.340</t>
  </si>
  <si>
    <t xml:space="preserve">24000 + 8400 Bonus UC</t>
  </si>
  <si>
    <t xml:space="preserve">Rp. 7.025.500</t>
  </si>
  <si>
    <t xml:space="preserve">Rp. 6.895.320</t>
  </si>
  <si>
    <t xml:space="preserve">Rp. 6.765.219</t>
  </si>
  <si>
    <t xml:space="preserve">Rp. 6.635.119</t>
  </si>
  <si>
    <t xml:space="preserve">Rp 32.457,-</t>
  </si>
  <si>
    <t xml:space="preserve">360 + 25 UC</t>
  </si>
  <si>
    <t xml:space="preserve">Rp 105.807,-</t>
  </si>
  <si>
    <t xml:space="preserve">600 + 60 UC</t>
  </si>
  <si>
    <t xml:space="preserve">Rp 162.280,-</t>
  </si>
  <si>
    <t xml:space="preserve">1080 + 85 UC</t>
  </si>
  <si>
    <t xml:space="preserve">Rp 292.104,-</t>
  </si>
  <si>
    <t xml:space="preserve">1680 + 300 UC</t>
  </si>
  <si>
    <t xml:space="preserve">Rp 454.382,-</t>
  </si>
  <si>
    <t xml:space="preserve">2400 + 385 UC</t>
  </si>
  <si>
    <t xml:space="preserve">Rp 649.117,-</t>
  </si>
  <si>
    <t xml:space="preserve">4800 + 770 UC</t>
  </si>
  <si>
    <t xml:space="preserve">Rp 1.309.930,-</t>
  </si>
  <si>
    <t xml:space="preserve">VAL475-S11</t>
  </si>
  <si>
    <t xml:space="preserve">Valorant</t>
  </si>
  <si>
    <t xml:space="preserve">475 Points</t>
  </si>
  <si>
    <t xml:space="preserve">Rp. 54.700</t>
  </si>
  <si>
    <t xml:space="preserve">Rp. 53.597</t>
  </si>
  <si>
    <t xml:space="preserve">Rp. 53.076</t>
  </si>
  <si>
    <t xml:space="preserve">Rp. 52.556</t>
  </si>
  <si>
    <t xml:space="preserve">VAL1000-S11</t>
  </si>
  <si>
    <t xml:space="preserve">1000 Points</t>
  </si>
  <si>
    <t xml:space="preserve">Rp. 109.300</t>
  </si>
  <si>
    <t xml:space="preserve">Rp. 107.193</t>
  </si>
  <si>
    <t xml:space="preserve">Rp. 106.152</t>
  </si>
  <si>
    <t xml:space="preserve">Rp. 105.111</t>
  </si>
  <si>
    <t xml:space="preserve">VAL2050-S11</t>
  </si>
  <si>
    <t xml:space="preserve">2050 Points</t>
  </si>
  <si>
    <t xml:space="preserve">Rp. 218.600</t>
  </si>
  <si>
    <t xml:space="preserve">Rp. 214.386</t>
  </si>
  <si>
    <t xml:space="preserve">Rp. 212.304</t>
  </si>
  <si>
    <t xml:space="preserve">Rp. 210.223</t>
  </si>
  <si>
    <t xml:space="preserve">VAL3650-S11</t>
  </si>
  <si>
    <t xml:space="preserve">3650 Points</t>
  </si>
  <si>
    <t xml:space="preserve">Rp. 379.600</t>
  </si>
  <si>
    <t xml:space="preserve">Rp. 372.303</t>
  </si>
  <si>
    <t xml:space="preserve">Rp. 368.689</t>
  </si>
  <si>
    <t xml:space="preserve">Rp. 365.074</t>
  </si>
  <si>
    <t xml:space="preserve">VAL5350-S11</t>
  </si>
  <si>
    <t xml:space="preserve">5350 Points</t>
  </si>
  <si>
    <t xml:space="preserve">Rp. 545.400</t>
  </si>
  <si>
    <t xml:space="preserve">Rp. 535.006</t>
  </si>
  <si>
    <t xml:space="preserve">Rp. 529.812</t>
  </si>
  <si>
    <t xml:space="preserve">Rp. 524.618</t>
  </si>
  <si>
    <t xml:space="preserve">VAL11000-S11</t>
  </si>
  <si>
    <t xml:space="preserve">11000 Points</t>
  </si>
  <si>
    <t xml:space="preserve">Rp. 1.072.300</t>
  </si>
  <si>
    <t xml:space="preserve">Rp. 1.051.827</t>
  </si>
  <si>
    <t xml:space="preserve">Rp. 1.041.615</t>
  </si>
  <si>
    <t xml:space="preserve">Rp. 1.031.403</t>
  </si>
  <si>
    <t xml:space="preserve">950 Points</t>
  </si>
  <si>
    <t xml:space="preserve">1475 Points</t>
  </si>
  <si>
    <t xml:space="preserve">2000 Points</t>
  </si>
  <si>
    <t xml:space="preserve">2525 Points</t>
  </si>
  <si>
    <t xml:space="preserve">3050 Points</t>
  </si>
  <si>
    <t xml:space="preserve">4125 Points</t>
  </si>
  <si>
    <t xml:space="preserve">4100 Points</t>
  </si>
  <si>
    <t xml:space="preserve">4650 Points</t>
  </si>
  <si>
    <t xml:space="preserve">5700 Points</t>
  </si>
  <si>
    <t xml:space="preserve">5825 Points</t>
  </si>
  <si>
    <t xml:space="preserve">6350 Points</t>
  </si>
  <si>
    <t xml:space="preserve">7300 Points</t>
  </si>
  <si>
    <t xml:space="preserve">7400 Points</t>
  </si>
  <si>
    <t xml:space="preserve">8400 Points</t>
  </si>
  <si>
    <t xml:space="preserve">9000 Points</t>
  </si>
  <si>
    <t xml:space="preserve">8990 Points</t>
  </si>
  <si>
    <t xml:space="preserve">10000 Points</t>
  </si>
  <si>
    <t xml:space="preserve">10700 Points</t>
  </si>
  <si>
    <t xml:space="preserve">11475 Points</t>
  </si>
  <si>
    <t xml:space="preserve">12000 Points</t>
  </si>
  <si>
    <t xml:space="preserve">13050 Points</t>
  </si>
  <si>
    <t xml:space="preserve">14650 Points</t>
  </si>
  <si>
    <t xml:space="preserve">16700 Points</t>
  </si>
  <si>
    <t xml:space="preserve">18400 Points</t>
  </si>
  <si>
    <t xml:space="preserve">20000 Points</t>
  </si>
  <si>
    <t xml:space="preserve">22000 Points</t>
  </si>
  <si>
    <t xml:space="preserve">475 VP</t>
  </si>
  <si>
    <t xml:space="preserve">1000 VP</t>
  </si>
  <si>
    <t xml:space="preserve">2050 VP</t>
  </si>
  <si>
    <t xml:space="preserve">3650 VP</t>
  </si>
  <si>
    <t xml:space="preserve">5350 VP</t>
  </si>
  <si>
    <t xml:space="preserve">11000 VP</t>
  </si>
  <si>
    <t xml:space="preserve">Region Thailand</t>
  </si>
  <si>
    <t xml:space="preserve">Region Filipina</t>
  </si>
  <si>
    <t xml:space="preserve">VCPB1200-S7</t>
  </si>
  <si>
    <t xml:space="preserve">Voucher Point Blank</t>
  </si>
  <si>
    <t xml:space="preserve">1200 PB Cash</t>
  </si>
  <si>
    <t xml:space="preserve">Rp. 9.400</t>
  </si>
  <si>
    <t xml:space="preserve">Rp. 9.065</t>
  </si>
  <si>
    <t xml:space="preserve">Rp. 8.976</t>
  </si>
  <si>
    <t xml:space="preserve">Rp. 8.932</t>
  </si>
  <si>
    <t xml:space="preserve">VCPB2400-S7</t>
  </si>
  <si>
    <t xml:space="preserve">2400 PB Cash</t>
  </si>
  <si>
    <t xml:space="preserve">Rp. 18.400</t>
  </si>
  <si>
    <t xml:space="preserve">Rp. 18.130</t>
  </si>
  <si>
    <t xml:space="preserve">Rp. 17.952</t>
  </si>
  <si>
    <t xml:space="preserve">Rp. 17.863</t>
  </si>
  <si>
    <t xml:space="preserve">VCPB1200-S11</t>
  </si>
  <si>
    <t xml:space="preserve">Rp. 18.600</t>
  </si>
  <si>
    <t xml:space="preserve">Rp. 18.334</t>
  </si>
  <si>
    <t xml:space="preserve">Rp. 18.156</t>
  </si>
  <si>
    <t xml:space="preserve">Rp. 17.978</t>
  </si>
  <si>
    <t xml:space="preserve">VCPB2400-S110</t>
  </si>
  <si>
    <t xml:space="preserve">Rp. 18.720</t>
  </si>
  <si>
    <t xml:space="preserve">Rp. 18.540</t>
  </si>
  <si>
    <t xml:space="preserve">Rp. 18.360</t>
  </si>
  <si>
    <t xml:space="preserve">Rp. 18.180</t>
  </si>
  <si>
    <t xml:space="preserve">VCPB6000-S7</t>
  </si>
  <si>
    <t xml:space="preserve">6000 PB Cash</t>
  </si>
  <si>
    <t xml:space="preserve">Rp. 45.800</t>
  </si>
  <si>
    <t xml:space="preserve">Rp. 45.325</t>
  </si>
  <si>
    <t xml:space="preserve">Rp. 44.881</t>
  </si>
  <si>
    <t xml:space="preserve">Rp. 44.659</t>
  </si>
  <si>
    <t xml:space="preserve">VCPB6000-S11</t>
  </si>
  <si>
    <t xml:space="preserve">Rp. 46.280</t>
  </si>
  <si>
    <t xml:space="preserve">Rp. 45.835</t>
  </si>
  <si>
    <t xml:space="preserve">Rp. 45.390</t>
  </si>
  <si>
    <t xml:space="preserve">Rp. 44.945</t>
  </si>
  <si>
    <t xml:space="preserve">VCPB12000-S7</t>
  </si>
  <si>
    <t xml:space="preserve">12000 PB Cash</t>
  </si>
  <si>
    <t xml:space="preserve">Rp. 91.600</t>
  </si>
  <si>
    <t xml:space="preserve">Rp. 90.649</t>
  </si>
  <si>
    <t xml:space="preserve">Rp. 89.760</t>
  </si>
  <si>
    <t xml:space="preserve">Rp. 89.316</t>
  </si>
  <si>
    <t xml:space="preserve">VCPB12000-S11</t>
  </si>
  <si>
    <t xml:space="preserve">Rp. 92.560</t>
  </si>
  <si>
    <t xml:space="preserve">Rp. 91.670</t>
  </si>
  <si>
    <t xml:space="preserve">Rp. 90.780</t>
  </si>
  <si>
    <t xml:space="preserve">Rp. 89.890</t>
  </si>
  <si>
    <t xml:space="preserve">VCPB24000-S7</t>
  </si>
  <si>
    <t xml:space="preserve">24000 PB Cash</t>
  </si>
  <si>
    <t xml:space="preserve">Rp. 183.100</t>
  </si>
  <si>
    <t xml:space="preserve">Rp. 181.297</t>
  </si>
  <si>
    <t xml:space="preserve">Rp. 179.520</t>
  </si>
  <si>
    <t xml:space="preserve">Rp. 178.631</t>
  </si>
  <si>
    <t xml:space="preserve">VCPB24000-S11</t>
  </si>
  <si>
    <t xml:space="preserve">Rp. 184.400</t>
  </si>
  <si>
    <t xml:space="preserve">Rp. 182.619</t>
  </si>
  <si>
    <t xml:space="preserve">Rp. 180.846</t>
  </si>
  <si>
    <t xml:space="preserve">Rp. 179.073</t>
  </si>
  <si>
    <t xml:space="preserve">VCPB36000-S7</t>
  </si>
  <si>
    <t xml:space="preserve">36000 PB Cash</t>
  </si>
  <si>
    <t xml:space="preserve">Rp. 274.700</t>
  </si>
  <si>
    <t xml:space="preserve">Rp. 271.947</t>
  </si>
  <si>
    <t xml:space="preserve">Rp. 269.281</t>
  </si>
  <si>
    <t xml:space="preserve">Rp. 267.948</t>
  </si>
  <si>
    <t xml:space="preserve">VCPB36000-S11</t>
  </si>
  <si>
    <t xml:space="preserve">Rp. 277.680</t>
  </si>
  <si>
    <t xml:space="preserve">Rp. 275.010</t>
  </si>
  <si>
    <t xml:space="preserve">Rp. 272.340</t>
  </si>
  <si>
    <t xml:space="preserve">Rp. 269.670</t>
  </si>
  <si>
    <t xml:space="preserve">VCPB60000-S7</t>
  </si>
  <si>
    <t xml:space="preserve">60000 PB Cash</t>
  </si>
  <si>
    <t xml:space="preserve">Rp. 457.700</t>
  </si>
  <si>
    <t xml:space="preserve">Rp. 453.244</t>
  </si>
  <si>
    <t xml:space="preserve">Rp. 448.800</t>
  </si>
  <si>
    <t xml:space="preserve">Rp. 446.578</t>
  </si>
  <si>
    <t xml:space="preserve">VCPB60000-S11</t>
  </si>
  <si>
    <t xml:space="preserve">Rp. 460.900</t>
  </si>
  <si>
    <t xml:space="preserve">Rp. 456.393</t>
  </si>
  <si>
    <t xml:space="preserve">Rp. 451.962</t>
  </si>
  <si>
    <t xml:space="preserve">Rp. 447.531</t>
  </si>
  <si>
    <t xml:space="preserve">Voucher</t>
  </si>
  <si>
    <t xml:space="preserve">1200 Cash</t>
  </si>
  <si>
    <t xml:space="preserve">2400 Cash</t>
  </si>
  <si>
    <t xml:space="preserve">6000 Cash</t>
  </si>
  <si>
    <t xml:space="preserve">12000 Cash</t>
  </si>
  <si>
    <t xml:space="preserve">24000 Cash</t>
  </si>
  <si>
    <t xml:space="preserve">36000 Cash</t>
  </si>
  <si>
    <t xml:space="preserve">60000 Cash</t>
  </si>
  <si>
    <t xml:space="preserve">VRC45S11</t>
  </si>
  <si>
    <t xml:space="preserve">Voucher Valorant</t>
  </si>
  <si>
    <t xml:space="preserve">Riot Cash 45000</t>
  </si>
  <si>
    <t xml:space="preserve">Rp. 44.041</t>
  </si>
  <si>
    <t xml:space="preserve">Rp. 43.041</t>
  </si>
  <si>
    <t xml:space="preserve">Rp. 42.541</t>
  </si>
  <si>
    <t xml:space="preserve">Rp. 42.166</t>
  </si>
  <si>
    <t xml:space="preserve">VRC75S11</t>
  </si>
  <si>
    <t xml:space="preserve">Riot Cash 75000</t>
  </si>
  <si>
    <t xml:space="preserve">Rp. 72.069</t>
  </si>
  <si>
    <t xml:space="preserve">Rp. 71.069</t>
  </si>
  <si>
    <t xml:space="preserve">Rp. 70.569</t>
  </si>
  <si>
    <t xml:space="preserve">Rp. 70.194</t>
  </si>
  <si>
    <t xml:space="preserve">VRC149S11</t>
  </si>
  <si>
    <t xml:space="preserve">Riot Cash 149000</t>
  </si>
  <si>
    <t xml:space="preserve">Rp. 141.203</t>
  </si>
  <si>
    <t xml:space="preserve">Rp. 140.203</t>
  </si>
  <si>
    <t xml:space="preserve">Rp. 139.703</t>
  </si>
  <si>
    <t xml:space="preserve">Rp. 139.328</t>
  </si>
  <si>
    <t xml:space="preserve">VRC219S11</t>
  </si>
  <si>
    <t xml:space="preserve">Riot Cash 219000</t>
  </si>
  <si>
    <t xml:space="preserve">Rp. 206.601</t>
  </si>
  <si>
    <t xml:space="preserve">Rp. 205.601</t>
  </si>
  <si>
    <t xml:space="preserve">Rp. 205.101</t>
  </si>
  <si>
    <t xml:space="preserve">Rp. 204.726</t>
  </si>
  <si>
    <t xml:space="preserve">VRC359S11</t>
  </si>
  <si>
    <t xml:space="preserve">Riot Cash 359000</t>
  </si>
  <si>
    <t xml:space="preserve">Rp. 337.396</t>
  </si>
  <si>
    <t xml:space="preserve">Rp. 336.396</t>
  </si>
  <si>
    <t xml:space="preserve">Rp. 335.896</t>
  </si>
  <si>
    <t xml:space="preserve">Rp. 335.521</t>
  </si>
  <si>
    <t xml:space="preserve">VRC739S11</t>
  </si>
  <si>
    <t xml:space="preserve">Riot Cash 739000</t>
  </si>
  <si>
    <t xml:space="preserve">Rp. 692.411</t>
  </si>
  <si>
    <t xml:space="preserve">Rp. 691.411</t>
  </si>
  <si>
    <t xml:space="preserve">Rp. 690.911</t>
  </si>
  <si>
    <t xml:space="preserve">Rp. 690.536</t>
  </si>
  <si>
    <t xml:space="preserve">VGP100000-S11</t>
  </si>
  <si>
    <t xml:space="preserve">Google Play Gift Card</t>
  </si>
  <si>
    <t xml:space="preserve">100.000 IDR</t>
  </si>
  <si>
    <t xml:space="preserve">Rp. 99.210</t>
  </si>
  <si>
    <t xml:space="preserve">Rp. 98.960</t>
  </si>
  <si>
    <t xml:space="preserve">Rp. 98.760</t>
  </si>
  <si>
    <t xml:space="preserve">Rp. 98.560</t>
  </si>
  <si>
    <t xml:space="preserve">GPCUS10-S9</t>
  </si>
  <si>
    <t xml:space="preserve">Google Play Us Region</t>
  </si>
  <si>
    <t xml:space="preserve">10$ USA REGION</t>
  </si>
  <si>
    <t xml:space="preserve">Rp. 174.875</t>
  </si>
  <si>
    <t xml:space="preserve">Rp. 174.625</t>
  </si>
  <si>
    <t xml:space="preserve">Rp. 174.425</t>
  </si>
  <si>
    <t xml:space="preserve">Rp. 174.225</t>
  </si>
  <si>
    <t xml:space="preserve">GPCUS15-S9</t>
  </si>
  <si>
    <t xml:space="preserve">15$ USA REGION</t>
  </si>
  <si>
    <t xml:space="preserve">Rp. 240.750</t>
  </si>
  <si>
    <t xml:space="preserve">Rp. 240.500</t>
  </si>
  <si>
    <t xml:space="preserve">Rp. 240.300</t>
  </si>
  <si>
    <t xml:space="preserve">Rp. 240.100</t>
  </si>
  <si>
    <t xml:space="preserve">GPCUS25-S9</t>
  </si>
  <si>
    <t xml:space="preserve">25$ USA REGION</t>
  </si>
  <si>
    <t xml:space="preserve">Rp. 415.750</t>
  </si>
  <si>
    <t xml:space="preserve">Rp. 415.500</t>
  </si>
  <si>
    <t xml:space="preserve">Rp. 415.300</t>
  </si>
  <si>
    <t xml:space="preserve">Rp. 415.100</t>
  </si>
  <si>
    <t xml:space="preserve">GPCUS1000-S9</t>
  </si>
  <si>
    <t xml:space="preserve">100$ USA REGION</t>
  </si>
  <si>
    <t xml:space="preserve">Rp. 1.350.750</t>
  </si>
  <si>
    <t xml:space="preserve">Rp. 1.350.500</t>
  </si>
  <si>
    <t xml:space="preserve">Rp. 1.350.300</t>
  </si>
  <si>
    <t xml:space="preserve">Rp. 1.350.100</t>
  </si>
  <si>
    <t xml:space="preserve">16.000 IDR</t>
  </si>
  <si>
    <t xml:space="preserve">35.000 IDR</t>
  </si>
  <si>
    <t xml:space="preserve">49.000 IDR</t>
  </si>
  <si>
    <t xml:space="preserve">65.000 IDR</t>
  </si>
  <si>
    <t xml:space="preserve">79.000 IDR</t>
  </si>
  <si>
    <t xml:space="preserve">150.000 IDR</t>
  </si>
  <si>
    <t xml:space="preserve">159.000 IDR</t>
  </si>
  <si>
    <t xml:space="preserve">249.000 IDR</t>
  </si>
  <si>
    <t xml:space="preserve">300.000 IDR</t>
  </si>
  <si>
    <t xml:space="preserve">329.000 IDR</t>
  </si>
  <si>
    <t xml:space="preserve">399.000 IDR</t>
  </si>
  <si>
    <t xml:space="preserve">500.000 IDR</t>
  </si>
  <si>
    <t xml:space="preserve">649.000 IDR</t>
  </si>
  <si>
    <t xml:space="preserve">799.000 IDR</t>
  </si>
  <si>
    <t xml:space="preserve">1.000.000 IDR</t>
  </si>
  <si>
    <t xml:space="preserve">1.599.000 IDR</t>
  </si>
  <si>
    <t xml:space="preserve">FF5YAHAHA</t>
  </si>
  <si>
    <t xml:space="preserve">Itunes Us Region</t>
  </si>
  <si>
    <t xml:space="preserve">Rp. 1.050</t>
  </si>
  <si>
    <t xml:space="preserve">Rp. 1.040</t>
  </si>
  <si>
    <t xml:space="preserve">VIT5-S9</t>
  </si>
  <si>
    <t xml:space="preserve">US Region $5</t>
  </si>
  <si>
    <t xml:space="preserve">Rp. 87.043</t>
  </si>
  <si>
    <t xml:space="preserve">Rp. 86.793</t>
  </si>
  <si>
    <t xml:space="preserve">Rp. 86.593</t>
  </si>
  <si>
    <t xml:space="preserve">Rp. 86.393</t>
  </si>
  <si>
    <t xml:space="preserve">VIT10-S9</t>
  </si>
  <si>
    <t xml:space="preserve">US Region 10$</t>
  </si>
  <si>
    <t xml:space="preserve">Rp. 173.311</t>
  </si>
  <si>
    <t xml:space="preserve">Rp. 173.061</t>
  </si>
  <si>
    <t xml:space="preserve">Rp. 172.861</t>
  </si>
  <si>
    <t xml:space="preserve">Rp. 172.661</t>
  </si>
  <si>
    <t xml:space="preserve">VIT15-S9</t>
  </si>
  <si>
    <t xml:space="preserve">US Region $15</t>
  </si>
  <si>
    <t xml:space="preserve">Rp. 210.775</t>
  </si>
  <si>
    <t xml:space="preserve">Rp. 210.525</t>
  </si>
  <si>
    <t xml:space="preserve">Rp. 210.325</t>
  </si>
  <si>
    <t xml:space="preserve">Rp. 210.125</t>
  </si>
  <si>
    <t xml:space="preserve">VIT25-S9</t>
  </si>
  <si>
    <t xml:space="preserve">US Region $25</t>
  </si>
  <si>
    <t xml:space="preserve">Rp. 383.550</t>
  </si>
  <si>
    <t xml:space="preserve">Rp. 383.300</t>
  </si>
  <si>
    <t xml:space="preserve">Rp. 383.100</t>
  </si>
  <si>
    <t xml:space="preserve">Rp. 382.900</t>
  </si>
  <si>
    <t xml:space="preserve">VIT50-S9</t>
  </si>
  <si>
    <t xml:space="preserve">US Region $50</t>
  </si>
  <si>
    <t xml:space="preserve">Rp. 780.750</t>
  </si>
  <si>
    <t xml:space="preserve">Rp. 780.500</t>
  </si>
  <si>
    <t xml:space="preserve">Rp. 780.300</t>
  </si>
  <si>
    <t xml:space="preserve">Rp. 780.100</t>
  </si>
  <si>
    <t xml:space="preserve">VIT100-S9</t>
  </si>
  <si>
    <t xml:space="preserve">US Region $100</t>
  </si>
  <si>
    <t xml:space="preserve">Rp. 1.718.215</t>
  </si>
  <si>
    <t xml:space="preserve">Rp. 1.717.965</t>
  </si>
  <si>
    <t xml:space="preserve">Rp. 1.717.765</t>
  </si>
  <si>
    <t xml:space="preserve">Rp. 1.717.565</t>
  </si>
  <si>
    <t xml:space="preserve">STEAM12-S11</t>
  </si>
  <si>
    <t xml:space="preserve">Steam Wallet (IDR)</t>
  </si>
  <si>
    <t xml:space="preserve">IDR 12.000 STEAM</t>
  </si>
  <si>
    <t xml:space="preserve">Rp. 11.900</t>
  </si>
  <si>
    <t xml:space="preserve">Rp. 11.800</t>
  </si>
  <si>
    <t xml:space="preserve">Rp. 11.700</t>
  </si>
  <si>
    <t xml:space="preserve">Rp. 11.600</t>
  </si>
  <si>
    <t xml:space="preserve">STEAM45-S11</t>
  </si>
  <si>
    <t xml:space="preserve">IDR 45.000 STEAM</t>
  </si>
  <si>
    <t xml:space="preserve">Rp. 46.000</t>
  </si>
  <si>
    <t xml:space="preserve">Rp. 45.593</t>
  </si>
  <si>
    <t xml:space="preserve">Rp. 45.343</t>
  </si>
  <si>
    <t xml:space="preserve">Rp. 44.943</t>
  </si>
  <si>
    <t xml:space="preserve">STEAM60-S11</t>
  </si>
  <si>
    <t xml:space="preserve">IDR 60.000 STEAM</t>
  </si>
  <si>
    <t xml:space="preserve">Rp. 59.300</t>
  </si>
  <si>
    <t xml:space="preserve">Rp. 58.966</t>
  </si>
  <si>
    <t xml:space="preserve">Rp. 58.766</t>
  </si>
  <si>
    <t xml:space="preserve">Rp. 58.566</t>
  </si>
  <si>
    <t xml:space="preserve">STEAM90-S11</t>
  </si>
  <si>
    <t xml:space="preserve">IDR 90.000 STEAM</t>
  </si>
  <si>
    <t xml:space="preserve">Rp. 89.700</t>
  </si>
  <si>
    <t xml:space="preserve">Rp. 89.437</t>
  </si>
  <si>
    <t xml:space="preserve">Rp. 89.237</t>
  </si>
  <si>
    <t xml:space="preserve">Rp. 89.037</t>
  </si>
  <si>
    <t xml:space="preserve">STEAM120-S11</t>
  </si>
  <si>
    <t xml:space="preserve">IDR 120.000 STEAM</t>
  </si>
  <si>
    <t xml:space="preserve">Rp. 121.100</t>
  </si>
  <si>
    <t xml:space="preserve">Rp. 120.582</t>
  </si>
  <si>
    <t xml:space="preserve">Rp. 120.082</t>
  </si>
  <si>
    <t xml:space="preserve">Rp. 119.682</t>
  </si>
  <si>
    <t xml:space="preserve">STEAM250-S11</t>
  </si>
  <si>
    <t xml:space="preserve">IDR 250.000 STEAM</t>
  </si>
  <si>
    <t xml:space="preserve">Rp. 250.100</t>
  </si>
  <si>
    <t xml:space="preserve">Rp. 249.019</t>
  </si>
  <si>
    <t xml:space="preserve">Rp. 248.019</t>
  </si>
  <si>
    <t xml:space="preserve">Rp. 247.519</t>
  </si>
  <si>
    <t xml:space="preserve">STEAM400-S11</t>
  </si>
  <si>
    <t xml:space="preserve">IDR 400.000 STEAM</t>
  </si>
  <si>
    <t xml:space="preserve">Rp. 400.100</t>
  </si>
  <si>
    <t xml:space="preserve">Rp. 398.045</t>
  </si>
  <si>
    <t xml:space="preserve">Rp. 396.045</t>
  </si>
  <si>
    <t xml:space="preserve">Rp. 395.545</t>
  </si>
  <si>
    <t xml:space="preserve">STEAM600-S11</t>
  </si>
  <si>
    <t xml:space="preserve">IDR 600.000 STEAM</t>
  </si>
  <si>
    <t xml:space="preserve">Rp. 599.700</t>
  </si>
  <si>
    <t xml:space="preserve">Rp. 594.659</t>
  </si>
  <si>
    <t xml:space="preserve">Rp. 589.659</t>
  </si>
  <si>
    <t xml:space="preserve">Rp. 586.659</t>
  </si>
  <si>
    <t xml:space="preserve">Voucher Indonesia (IDR)</t>
  </si>
  <si>
    <t xml:space="preserve">12.000 IDR</t>
  </si>
  <si>
    <t xml:space="preserve">60.000 IDR</t>
  </si>
  <si>
    <t xml:space="preserve">90.000 IDR</t>
  </si>
  <si>
    <t xml:space="preserve">120.000 IDR</t>
  </si>
  <si>
    <t xml:space="preserve">250.000 IDR</t>
  </si>
  <si>
    <t xml:space="preserve">400.000 IDR</t>
  </si>
  <si>
    <t xml:space="preserve">600.000 IDR</t>
  </si>
  <si>
    <t xml:space="preserve">SPSV1-S9</t>
  </si>
  <si>
    <t xml:space="preserve">Spotify</t>
  </si>
  <si>
    <t xml:space="preserve">Spotify Premium Subscription Voucher - 1 Bulan</t>
  </si>
  <si>
    <t xml:space="preserve">Rp. 56.820</t>
  </si>
  <si>
    <t xml:space="preserve">Rp. 56.570</t>
  </si>
  <si>
    <t xml:space="preserve">Rp. 56.370</t>
  </si>
  <si>
    <t xml:space="preserve">Rp. 56.170</t>
  </si>
  <si>
    <t xml:space="preserve">SPSV3-S9</t>
  </si>
  <si>
    <t xml:space="preserve">Spotify Premium Subscription Voucher - 3 Bulan</t>
  </si>
  <si>
    <t xml:space="preserve">Rp. 166.075</t>
  </si>
  <si>
    <t xml:space="preserve">Rp. 165.825</t>
  </si>
  <si>
    <t xml:space="preserve">Rp. 165.625</t>
  </si>
  <si>
    <t xml:space="preserve">Rp. 165.425</t>
  </si>
  <si>
    <t xml:space="preserve">SPSV6-S9</t>
  </si>
  <si>
    <t xml:space="preserve">Spotify Premium Subscription Voucher - 6 Bulan</t>
  </si>
  <si>
    <t xml:space="preserve">Rp. 303.675</t>
  </si>
  <si>
    <t xml:space="preserve">Rp. 303.425</t>
  </si>
  <si>
    <t xml:space="preserve">Rp. 303.225</t>
  </si>
  <si>
    <t xml:space="preserve">Rp. 303.025</t>
  </si>
  <si>
    <t xml:space="preserve">VNTD10-S11</t>
  </si>
  <si>
    <t xml:space="preserve">Nintendo $10</t>
  </si>
  <si>
    <t xml:space="preserve">Rp. 137.342</t>
  </si>
  <si>
    <t xml:space="preserve">Rp. 137.092</t>
  </si>
  <si>
    <t xml:space="preserve">Rp. 136.892</t>
  </si>
  <si>
    <t xml:space="preserve">Rp. 136.692</t>
  </si>
  <si>
    <t xml:space="preserve">VNTD50-S11</t>
  </si>
  <si>
    <t xml:space="preserve">Nintendo $50</t>
  </si>
  <si>
    <t xml:space="preserve">Rp. 675.582</t>
  </si>
  <si>
    <t xml:space="preserve">Rp. 675.332</t>
  </si>
  <si>
    <t xml:space="preserve">Rp. 675.132</t>
  </si>
  <si>
    <t xml:space="preserve">Rp. 674.932</t>
  </si>
  <si>
    <t xml:space="preserve">VIDEPLBASIC30-S11</t>
  </si>
  <si>
    <t xml:space="preserve">Vidio</t>
  </si>
  <si>
    <t xml:space="preserve">EPL Basic 30D</t>
  </si>
  <si>
    <t xml:space="preserve">Rp. 24.850</t>
  </si>
  <si>
    <t xml:space="preserve">Rp. 24.600</t>
  </si>
  <si>
    <t xml:space="preserve">Rp. 24.200</t>
  </si>
  <si>
    <t xml:space="preserve">VIDPDU17P-S11</t>
  </si>
  <si>
    <t xml:space="preserve">FIFA U-17 World Cup Indonesia 2023</t>
  </si>
  <si>
    <t xml:space="preserve">Rp. 38.050</t>
  </si>
  <si>
    <t xml:space="preserve">Rp. 37.800</t>
  </si>
  <si>
    <t xml:space="preserve">Rp. 37.600</t>
  </si>
  <si>
    <t xml:space="preserve">Rp. 37.400</t>
  </si>
  <si>
    <t xml:space="preserve">VIDPLATINUM30D-S11</t>
  </si>
  <si>
    <t xml:space="preserve">Platinum 30 Hari</t>
  </si>
  <si>
    <t xml:space="preserve">Rp. 45.000</t>
  </si>
  <si>
    <t xml:space="preserve">Rp. 44.700</t>
  </si>
  <si>
    <t xml:space="preserve">Rp. 44.500</t>
  </si>
  <si>
    <t xml:space="preserve">Rp. 44.300</t>
  </si>
  <si>
    <t xml:space="preserve">VIDDIAMONDMOBILE30D-S11</t>
  </si>
  <si>
    <t xml:space="preserve">Diamond Mobile 30 Hari</t>
  </si>
  <si>
    <t xml:space="preserve">Rp. 47.550</t>
  </si>
  <si>
    <t xml:space="preserve">Rp. 47.300</t>
  </si>
  <si>
    <t xml:space="preserve">Rp. 47.100</t>
  </si>
  <si>
    <t xml:space="preserve">Rp. 46.900</t>
  </si>
  <si>
    <t xml:space="preserve">VIDDIAMONDMOBILE30D-S110</t>
  </si>
  <si>
    <t xml:space="preserve">Rp. 48.885</t>
  </si>
  <si>
    <t xml:space="preserve">Rp. 48.635</t>
  </si>
  <si>
    <t xml:space="preserve">Rp. 48.435</t>
  </si>
  <si>
    <t xml:space="preserve">Rp. 48.235</t>
  </si>
  <si>
    <t xml:space="preserve">VIDDIAMONDALLSCREEN30D-S11</t>
  </si>
  <si>
    <t xml:space="preserve">Diamond All Screen 30 Hari</t>
  </si>
  <si>
    <t xml:space="preserve">Rp. 95.350</t>
  </si>
  <si>
    <t xml:space="preserve">Rp. 95.100</t>
  </si>
  <si>
    <t xml:space="preserve">Rp. 94.700</t>
  </si>
  <si>
    <t xml:space="preserve">VIDDIAMONDALLSCREEN30D-S110</t>
  </si>
  <si>
    <t xml:space="preserve">Rp. 96.398</t>
  </si>
  <si>
    <t xml:space="preserve">Rp. 96.148</t>
  </si>
  <si>
    <t xml:space="preserve">Rp. 95.948</t>
  </si>
  <si>
    <t xml:space="preserve">Rp. 95.748</t>
  </si>
  <si>
    <t xml:space="preserve">VIDPLATINUM1YR-S11</t>
  </si>
  <si>
    <t xml:space="preserve">Platinum 1 Tahun</t>
  </si>
  <si>
    <t xml:space="preserve">Rp. 259.150</t>
  </si>
  <si>
    <t xml:space="preserve">Rp. 258.900</t>
  </si>
  <si>
    <t xml:space="preserve">Rp. 258.700</t>
  </si>
  <si>
    <t xml:space="preserve">Rp. 258.500</t>
  </si>
  <si>
    <t xml:space="preserve">VIDPLATINUM1YR-S110</t>
  </si>
  <si>
    <t xml:space="preserve">Rp. 262.245</t>
  </si>
  <si>
    <t xml:space="preserve">Rp. 261.995</t>
  </si>
  <si>
    <t xml:space="preserve">Rp. 261.795</t>
  </si>
  <si>
    <t xml:space="preserve">Rp. 261.595</t>
  </si>
  <si>
    <t xml:space="preserve">VIDDIAMONDMOBILE1YR-S11</t>
  </si>
  <si>
    <t xml:space="preserve">Diamond Mobile 1 Tahun</t>
  </si>
  <si>
    <t xml:space="preserve">Rp. 413.450</t>
  </si>
  <si>
    <t xml:space="preserve">Rp. 413.200</t>
  </si>
  <si>
    <t xml:space="preserve">Rp. 413.000</t>
  </si>
  <si>
    <t xml:space="preserve">Rp. 412.800</t>
  </si>
  <si>
    <t xml:space="preserve">VIDDIAMONDMOBILE1YR-S110</t>
  </si>
  <si>
    <t xml:space="preserve">Rp. 418.440</t>
  </si>
  <si>
    <t xml:space="preserve">Rp. 418.190</t>
  </si>
  <si>
    <t xml:space="preserve">Rp. 417.990</t>
  </si>
  <si>
    <t xml:space="preserve">Rp. 417.790</t>
  </si>
  <si>
    <t xml:space="preserve">VIDDIAMONDALLSCREEN1YR-S11</t>
  </si>
  <si>
    <t xml:space="preserve">Diamond All Screen 1 Tahun</t>
  </si>
  <si>
    <t xml:space="preserve">Rp. 721.250</t>
  </si>
  <si>
    <t xml:space="preserve">Rp. 721.000</t>
  </si>
  <si>
    <t xml:space="preserve">Rp. 720.800</t>
  </si>
  <si>
    <t xml:space="preserve">Rp. 720.600</t>
  </si>
  <si>
    <t xml:space="preserve">VIDDIAMONDALLSCREEN1YR-S110</t>
  </si>
  <si>
    <t xml:space="preserve">Rp. 721.275</t>
  </si>
  <si>
    <t xml:space="preserve">Rp. 721.025</t>
  </si>
  <si>
    <t xml:space="preserve">Rp. 720.825</t>
  </si>
  <si>
    <t xml:space="preserve">Rp. 720.625</t>
  </si>
  <si>
    <t xml:space="preserve">Platinum 30 Days</t>
  </si>
  <si>
    <t xml:space="preserve">Platinum Extra 30 Days</t>
  </si>
  <si>
    <t xml:space="preserve">Ultimate Mobile 30 Days</t>
  </si>
  <si>
    <t xml:space="preserve">Platinum 3 Months</t>
  </si>
  <si>
    <t xml:space="preserve">Platinum Extra 3 Months</t>
  </si>
  <si>
    <t xml:space="preserve">Ultimate All Screen 30 Days</t>
  </si>
  <si>
    <t xml:space="preserve">Ultimate Mobile 3 Months</t>
  </si>
  <si>
    <t xml:space="preserve">Platinum 1 Year</t>
  </si>
  <si>
    <t xml:space="preserve">Ultimate All Screen 3 Months</t>
  </si>
  <si>
    <t xml:space="preserve">Platinum Extra 1 Year</t>
  </si>
  <si>
    <t xml:space="preserve">Ultimate Mobile 1 Year</t>
  </si>
  <si>
    <t xml:space="preserve">Ultimate All Screen 1 Year</t>
  </si>
  <si>
    <t xml:space="preserve">XBOXGPU1-S11</t>
  </si>
  <si>
    <t xml:space="preserve">Xbox</t>
  </si>
  <si>
    <t xml:space="preserve">Xbox Game Pass Ultimate 1 Month</t>
  </si>
  <si>
    <t xml:space="preserve">Rp. 212.950</t>
  </si>
  <si>
    <t xml:space="preserve">Rp. 212.700</t>
  </si>
  <si>
    <t xml:space="preserve">Rp. 212.500</t>
  </si>
  <si>
    <t xml:space="preserve">Rp. 212.300</t>
  </si>
  <si>
    <t xml:space="preserve">XBOXUSDM3-S11</t>
  </si>
  <si>
    <t xml:space="preserve">Xbox Membership 3 Months</t>
  </si>
  <si>
    <t xml:space="preserve">Rp. 354.450</t>
  </si>
  <si>
    <t xml:space="preserve">Rp. 354.200</t>
  </si>
  <si>
    <t xml:space="preserve">Rp. 354.000</t>
  </si>
  <si>
    <t xml:space="preserve">Rp. 353.800</t>
  </si>
  <si>
    <t xml:space="preserve">XBOXEAPM12-S11</t>
  </si>
  <si>
    <t xml:space="preserve">EA Play Membership 12 Months</t>
  </si>
  <si>
    <t xml:space="preserve">Rp. 383.950</t>
  </si>
  <si>
    <t xml:space="preserve">Rp. 383.700</t>
  </si>
  <si>
    <t xml:space="preserve">Rp. 383.500</t>
  </si>
  <si>
    <t xml:space="preserve">XBOXGPU3-S11</t>
  </si>
  <si>
    <t xml:space="preserve">Xbox Game Pass Ultimate 3 Months</t>
  </si>
  <si>
    <t xml:space="preserve">Rp. 637.350</t>
  </si>
  <si>
    <t xml:space="preserve">Rp. 637.100</t>
  </si>
  <si>
    <t xml:space="preserve">Rp. 636.900</t>
  </si>
  <si>
    <t xml:space="preserve">Rp. 636.700</t>
  </si>
  <si>
    <t xml:space="preserve">XBOXUSDM12-S11</t>
  </si>
  <si>
    <t xml:space="preserve">Xbox Membership 12 Months</t>
  </si>
  <si>
    <t xml:space="preserve">Rp. 849.450</t>
  </si>
  <si>
    <t xml:space="preserve">Rp. 849.200</t>
  </si>
  <si>
    <t xml:space="preserve">Rp. 849.000</t>
  </si>
  <si>
    <t xml:space="preserve">Rp. 848.800</t>
  </si>
  <si>
    <t xml:space="preserve">XBOXUSDGP1-S11</t>
  </si>
  <si>
    <t xml:space="preserve">Xbox Game Pass 6 Months</t>
  </si>
  <si>
    <t xml:space="preserve">HTL40-S9</t>
  </si>
  <si>
    <t xml:space="preserve">Hotelmurah</t>
  </si>
  <si>
    <t xml:space="preserve">voucher Hotel Hotelmurah 50.000</t>
  </si>
  <si>
    <t xml:space="preserve">Rp. 42.000</t>
  </si>
  <si>
    <t xml:space="preserve">Rp. 41.600</t>
  </si>
  <si>
    <t xml:space="preserve">Rp. 41.200</t>
  </si>
  <si>
    <t xml:space="preserve">Rp. 40.800</t>
  </si>
  <si>
    <t xml:space="preserve">HTL100-S9</t>
  </si>
  <si>
    <t xml:space="preserve">Voucher Hotel Hotelmurah 100.000</t>
  </si>
  <si>
    <t xml:space="preserve">Rp. 94.500</t>
  </si>
  <si>
    <t xml:space="preserve">Rp. 93.600</t>
  </si>
  <si>
    <t xml:space="preserve">Rp. 92.700</t>
  </si>
  <si>
    <t xml:space="preserve">Rp. 91.800</t>
  </si>
  <si>
    <t xml:space="preserve">HTL200-S9</t>
  </si>
  <si>
    <t xml:space="preserve">Voucher Hotel Hotelmurah 200.000</t>
  </si>
  <si>
    <t xml:space="preserve">Rp. 198.500</t>
  </si>
  <si>
    <t xml:space="preserve">Rp. 196.560</t>
  </si>
  <si>
    <t xml:space="preserve">Rp. 194.670</t>
  </si>
  <si>
    <t xml:space="preserve">Rp. 192.780</t>
  </si>
  <si>
    <t xml:space="preserve">HTL500-S9</t>
  </si>
  <si>
    <t xml:space="preserve">Voucher Hotel Hotelmurah 500.000</t>
  </si>
  <si>
    <t xml:space="preserve">Rp. 509.300</t>
  </si>
  <si>
    <t xml:space="preserve">Rp. 504.400</t>
  </si>
  <si>
    <t xml:space="preserve">Rp. 499.550</t>
  </si>
  <si>
    <t xml:space="preserve">Rp. 494.700</t>
  </si>
  <si>
    <t xml:space="preserve">HTL1000-S9</t>
  </si>
  <si>
    <t xml:space="preserve">Voucher Hotel Hotelmurah 1.000.000</t>
  </si>
  <si>
    <t xml:space="preserve">Rp. 1.029.000</t>
  </si>
  <si>
    <t xml:space="preserve">Rp. 1.019.200</t>
  </si>
  <si>
    <t xml:space="preserve">Rp. 1.009.400</t>
  </si>
  <si>
    <t xml:space="preserve">Rp. 999.600</t>
  </si>
  <si>
    <t xml:space="preserve">GNTKPRO</t>
  </si>
  <si>
    <t xml:space="preserve">Paket Professional</t>
  </si>
  <si>
    <t xml:space="preserve">Rp. 25.000</t>
  </si>
  <si>
    <t xml:space="preserve">GNTKENTR</t>
  </si>
  <si>
    <t xml:space="preserve">Paket Enterprise</t>
  </si>
  <si>
    <t xml:space="preserve">Rp. 50.000</t>
  </si>
  <si>
    <t xml:space="preserve">GNTKBOGO</t>
  </si>
  <si>
    <t xml:space="preserve">Paket VIP BOGO</t>
  </si>
  <si>
    <t xml:space="preserve">Rp. 80.000</t>
  </si>
  <si>
    <t xml:space="preserve">PLN20</t>
  </si>
  <si>
    <t xml:space="preserve">PLN</t>
  </si>
  <si>
    <t xml:space="preserve">PLN 20.000</t>
  </si>
  <si>
    <t xml:space="preserve">Rp. 22.100</t>
  </si>
  <si>
    <t xml:space="preserve">Rp. 21.935</t>
  </si>
  <si>
    <t xml:space="preserve">Rp. 21.785</t>
  </si>
  <si>
    <t xml:space="preserve">Rp. 21.685</t>
  </si>
  <si>
    <t xml:space="preserve">PLN50</t>
  </si>
  <si>
    <t xml:space="preserve">PLN 50.000</t>
  </si>
  <si>
    <t xml:space="preserve">Rp. 52.200</t>
  </si>
  <si>
    <t xml:space="preserve">Rp. 52.003</t>
  </si>
  <si>
    <t xml:space="preserve">Rp. 51.853</t>
  </si>
  <si>
    <t xml:space="preserve">Rp. 51.753</t>
  </si>
  <si>
    <t xml:space="preserve">PLN100</t>
  </si>
  <si>
    <t xml:space="preserve">PLN 100.000</t>
  </si>
  <si>
    <t xml:space="preserve">Rp. 102.200</t>
  </si>
  <si>
    <t xml:space="preserve">Rp. 101.975</t>
  </si>
  <si>
    <t xml:space="preserve">Rp. 101.825</t>
  </si>
  <si>
    <t xml:space="preserve">Rp. 101.725</t>
  </si>
  <si>
    <t xml:space="preserve">PLN200</t>
  </si>
  <si>
    <t xml:space="preserve">PLN 200.000</t>
  </si>
  <si>
    <t xml:space="preserve">Rp. 202.200</t>
  </si>
  <si>
    <t xml:space="preserve">Rp. 202.030</t>
  </si>
  <si>
    <t xml:space="preserve">Rp. 201.880</t>
  </si>
  <si>
    <t xml:space="preserve">Rp. 201.780</t>
  </si>
  <si>
    <t xml:space="preserve">PLN500</t>
  </si>
  <si>
    <t xml:space="preserve">PLN 500.000</t>
  </si>
  <si>
    <t xml:space="preserve">Rp. 502.200</t>
  </si>
  <si>
    <t xml:space="preserve">Rp. 501.975</t>
  </si>
  <si>
    <t xml:space="preserve">Rp. 501.825</t>
  </si>
  <si>
    <t xml:space="preserve">Rp. 501.725</t>
  </si>
  <si>
    <t xml:space="preserve">PLN1000</t>
  </si>
  <si>
    <t xml:space="preserve">PLN 1.000.000</t>
  </si>
  <si>
    <t xml:space="preserve">Rp. 1.002.300</t>
  </si>
  <si>
    <t xml:space="preserve">Rp. 1.002.100</t>
  </si>
  <si>
    <t xml:space="preserve">Rp. 1.001.950</t>
  </si>
  <si>
    <t xml:space="preserve">Rp. 1.001.850</t>
  </si>
  <si>
    <t xml:space="preserve">TSL10</t>
  </si>
  <si>
    <t xml:space="preserve">Telkomsel</t>
  </si>
  <si>
    <t xml:space="preserve">Telkomsel 10.000</t>
  </si>
  <si>
    <t xml:space="preserve">Rp. 10.522</t>
  </si>
  <si>
    <t xml:space="preserve">Rp. 10.420</t>
  </si>
  <si>
    <t xml:space="preserve">Rp. 10.318</t>
  </si>
  <si>
    <t xml:space="preserve">Rp. 10.267</t>
  </si>
  <si>
    <t xml:space="preserve">TSL10-S9</t>
  </si>
  <si>
    <t xml:space="preserve">Rp. 10.965</t>
  </si>
  <si>
    <t xml:space="preserve">Rp. 10.715</t>
  </si>
  <si>
    <t xml:space="preserve">Rp. 10.515</t>
  </si>
  <si>
    <t xml:space="preserve">Rp. 10.315</t>
  </si>
  <si>
    <t xml:space="preserve">TSL15</t>
  </si>
  <si>
    <t xml:space="preserve">Telkomsel 15.000</t>
  </si>
  <si>
    <t xml:space="preserve">Rp. 15.327</t>
  </si>
  <si>
    <t xml:space="preserve">Rp. 15.178</t>
  </si>
  <si>
    <t xml:space="preserve">Rp. 15.029</t>
  </si>
  <si>
    <t xml:space="preserve">Rp. 14.955</t>
  </si>
  <si>
    <t xml:space="preserve">TSL15-S9</t>
  </si>
  <si>
    <t xml:space="preserve">Rp. 15.630</t>
  </si>
  <si>
    <t xml:space="preserve">Rp. 15.380</t>
  </si>
  <si>
    <t xml:space="preserve">Rp. 15.180</t>
  </si>
  <si>
    <t xml:space="preserve">Rp. 14.980</t>
  </si>
  <si>
    <t xml:space="preserve">TSL20</t>
  </si>
  <si>
    <t xml:space="preserve">Telkomsel 20.000</t>
  </si>
  <si>
    <t xml:space="preserve">Rp. 20.286</t>
  </si>
  <si>
    <t xml:space="preserve">Rp. 20.089</t>
  </si>
  <si>
    <t xml:space="preserve">Rp. 19.892</t>
  </si>
  <si>
    <t xml:space="preserve">Rp. 19.794</t>
  </si>
  <si>
    <t xml:space="preserve">TSL20-S9</t>
  </si>
  <si>
    <t xml:space="preserve">Rp. 20.445</t>
  </si>
  <si>
    <t xml:space="preserve">Rp. 20.195</t>
  </si>
  <si>
    <t xml:space="preserve">Rp. 19.995</t>
  </si>
  <si>
    <t xml:space="preserve">Rp. 19.795</t>
  </si>
  <si>
    <t xml:space="preserve">TSL25</t>
  </si>
  <si>
    <t xml:space="preserve">Telkomsel 25.000</t>
  </si>
  <si>
    <t xml:space="preserve">Rp. 25.663</t>
  </si>
  <si>
    <t xml:space="preserve">Rp. 25.414</t>
  </si>
  <si>
    <t xml:space="preserve">Rp. 25.165</t>
  </si>
  <si>
    <t xml:space="preserve">Rp. 25.040</t>
  </si>
  <si>
    <t xml:space="preserve">TSL25-S9</t>
  </si>
  <si>
    <t xml:space="preserve">Rp. 25.665</t>
  </si>
  <si>
    <t xml:space="preserve">Rp. 25.415</t>
  </si>
  <si>
    <t xml:space="preserve">Rp. 25.215</t>
  </si>
  <si>
    <t xml:space="preserve">Rp. 25.015</t>
  </si>
  <si>
    <t xml:space="preserve">TSL30-S9</t>
  </si>
  <si>
    <t xml:space="preserve">Telkomsel 30.000</t>
  </si>
  <si>
    <t xml:space="preserve">Rp. 30.175</t>
  </si>
  <si>
    <t xml:space="preserve">Rp. 29.925</t>
  </si>
  <si>
    <t xml:space="preserve">Rp. 29.725</t>
  </si>
  <si>
    <t xml:space="preserve">Rp. 29.525</t>
  </si>
  <si>
    <t xml:space="preserve">TSL30</t>
  </si>
  <si>
    <t xml:space="preserve">Rp. 30.308</t>
  </si>
  <si>
    <t xml:space="preserve">Rp. 30.014</t>
  </si>
  <si>
    <t xml:space="preserve">Rp. 29.720</t>
  </si>
  <si>
    <t xml:space="preserve">Rp. 29.573</t>
  </si>
  <si>
    <t xml:space="preserve">TSL40-S9</t>
  </si>
  <si>
    <t xml:space="preserve">Telkomsel 40.000</t>
  </si>
  <si>
    <t xml:space="preserve">Rp. 40.475</t>
  </si>
  <si>
    <t xml:space="preserve">Rp. 40.225</t>
  </si>
  <si>
    <t xml:space="preserve">Rp. 40.025</t>
  </si>
  <si>
    <t xml:space="preserve">Rp. 39.825</t>
  </si>
  <si>
    <t xml:space="preserve">TSL40</t>
  </si>
  <si>
    <t xml:space="preserve">Rp. 40.917</t>
  </si>
  <si>
    <t xml:space="preserve">Rp. 40.520</t>
  </si>
  <si>
    <t xml:space="preserve">Rp. 40.123</t>
  </si>
  <si>
    <t xml:space="preserve">Rp. 39.924</t>
  </si>
  <si>
    <t xml:space="preserve">TSL50-S9</t>
  </si>
  <si>
    <t xml:space="preserve">Telkomsel 50.000</t>
  </si>
  <si>
    <t xml:space="preserve">Rp. 50.210</t>
  </si>
  <si>
    <t xml:space="preserve">Rp. 49.960</t>
  </si>
  <si>
    <t xml:space="preserve">Rp. 49.760</t>
  </si>
  <si>
    <t xml:space="preserve">Rp. 49.560</t>
  </si>
  <si>
    <t xml:space="preserve">TSL50</t>
  </si>
  <si>
    <t xml:space="preserve">Rp. 50.944</t>
  </si>
  <si>
    <t xml:space="preserve">Rp. 50.450</t>
  </si>
  <si>
    <t xml:space="preserve">Rp. 49.955</t>
  </si>
  <si>
    <t xml:space="preserve">Rp. 49.708</t>
  </si>
  <si>
    <t xml:space="preserve">TSL75-S9</t>
  </si>
  <si>
    <t xml:space="preserve">Telkomsel 75.000</t>
  </si>
  <si>
    <t xml:space="preserve">Rp. 74.200</t>
  </si>
  <si>
    <t xml:space="preserve">Rp. 73.950</t>
  </si>
  <si>
    <t xml:space="preserve">Rp. 73.750</t>
  </si>
  <si>
    <t xml:space="preserve">Rp. 73.550</t>
  </si>
  <si>
    <t xml:space="preserve">TSL75</t>
  </si>
  <si>
    <t xml:space="preserve">Rp. 75.654</t>
  </si>
  <si>
    <t xml:space="preserve">Rp. 74.919</t>
  </si>
  <si>
    <t xml:space="preserve">Rp. 74.185</t>
  </si>
  <si>
    <t xml:space="preserve">Rp. 73.818</t>
  </si>
  <si>
    <t xml:space="preserve">TSL80-S9</t>
  </si>
  <si>
    <t xml:space="preserve">Telkomsel 80.000</t>
  </si>
  <si>
    <t xml:space="preserve">Rp. 80.025</t>
  </si>
  <si>
    <t xml:space="preserve">Rp. 79.775</t>
  </si>
  <si>
    <t xml:space="preserve">Rp. 79.575</t>
  </si>
  <si>
    <t xml:space="preserve">Rp. 79.375</t>
  </si>
  <si>
    <t xml:space="preserve">TSL80</t>
  </si>
  <si>
    <t xml:space="preserve">Rp. 81.654</t>
  </si>
  <si>
    <t xml:space="preserve">Rp. 80.861</t>
  </si>
  <si>
    <t xml:space="preserve">Rp. 80.068</t>
  </si>
  <si>
    <t xml:space="preserve">Rp. 79.672</t>
  </si>
  <si>
    <t xml:space="preserve">TSL85-S9</t>
  </si>
  <si>
    <t xml:space="preserve">Telkomsel 85.000</t>
  </si>
  <si>
    <t xml:space="preserve">Rp. 84.975</t>
  </si>
  <si>
    <t xml:space="preserve">Rp. 84.725</t>
  </si>
  <si>
    <t xml:space="preserve">Rp. 84.525</t>
  </si>
  <si>
    <t xml:space="preserve">Rp. 84.325</t>
  </si>
  <si>
    <t xml:space="preserve">TSL85</t>
  </si>
  <si>
    <t xml:space="preserve">Rp. 86.752</t>
  </si>
  <si>
    <t xml:space="preserve">Rp. 85.910</t>
  </si>
  <si>
    <t xml:space="preserve">Rp. 85.068</t>
  </si>
  <si>
    <t xml:space="preserve">Rp. 84.647</t>
  </si>
  <si>
    <t xml:space="preserve">TSL90-S9</t>
  </si>
  <si>
    <t xml:space="preserve">Telkomsel 90.000</t>
  </si>
  <si>
    <t xml:space="preserve">Rp. 90.200</t>
  </si>
  <si>
    <t xml:space="preserve">Rp. 89.950</t>
  </si>
  <si>
    <t xml:space="preserve">Rp. 89.750</t>
  </si>
  <si>
    <t xml:space="preserve">Rp. 89.550</t>
  </si>
  <si>
    <t xml:space="preserve">TSL90</t>
  </si>
  <si>
    <t xml:space="preserve">Rp. 92.134</t>
  </si>
  <si>
    <t xml:space="preserve">Rp. 91.239</t>
  </si>
  <si>
    <t xml:space="preserve">Rp. 90.345</t>
  </si>
  <si>
    <t xml:space="preserve">Rp. 89.898</t>
  </si>
  <si>
    <t xml:space="preserve">TSL95-S9</t>
  </si>
  <si>
    <t xml:space="preserve">Telkomsel 95.000</t>
  </si>
  <si>
    <t xml:space="preserve">Rp. 94.870</t>
  </si>
  <si>
    <t xml:space="preserve">Rp. 94.620</t>
  </si>
  <si>
    <t xml:space="preserve">Rp. 94.420</t>
  </si>
  <si>
    <t xml:space="preserve">Rp. 94.220</t>
  </si>
  <si>
    <t xml:space="preserve">TSL95</t>
  </si>
  <si>
    <t xml:space="preserve">Rp. 96.944</t>
  </si>
  <si>
    <t xml:space="preserve">Rp. 96.003</t>
  </si>
  <si>
    <t xml:space="preserve">Rp. 95.062</t>
  </si>
  <si>
    <t xml:space="preserve">Rp. 94.591</t>
  </si>
  <si>
    <t xml:space="preserve">TSL100-S9</t>
  </si>
  <si>
    <t xml:space="preserve">Telkomsel 100.000</t>
  </si>
  <si>
    <t xml:space="preserve">Rp. 98.290</t>
  </si>
  <si>
    <t xml:space="preserve">Rp. 98.040</t>
  </si>
  <si>
    <t xml:space="preserve">Rp. 97.840</t>
  </si>
  <si>
    <t xml:space="preserve">Rp. 97.640</t>
  </si>
  <si>
    <t xml:space="preserve">TSL100</t>
  </si>
  <si>
    <t xml:space="preserve">Rp. 100.606</t>
  </si>
  <si>
    <t xml:space="preserve">Rp. 99.629</t>
  </si>
  <si>
    <t xml:space="preserve">Rp. 98.652</t>
  </si>
  <si>
    <t xml:space="preserve">Rp. 98.164</t>
  </si>
  <si>
    <t xml:space="preserve">TSL150-S9</t>
  </si>
  <si>
    <t xml:space="preserve">Telkomsel 150.000</t>
  </si>
  <si>
    <t xml:space="preserve">Rp. 148.675</t>
  </si>
  <si>
    <t xml:space="preserve">Rp. 148.425</t>
  </si>
  <si>
    <t xml:space="preserve">Rp. 148.225</t>
  </si>
  <si>
    <t xml:space="preserve">Rp. 148.025</t>
  </si>
  <si>
    <t xml:space="preserve">TSL150</t>
  </si>
  <si>
    <t xml:space="preserve">Rp. 152.466</t>
  </si>
  <si>
    <t xml:space="preserve">Rp. 150.986</t>
  </si>
  <si>
    <t xml:space="preserve">Rp. 149.506</t>
  </si>
  <si>
    <t xml:space="preserve">Rp. 148.766</t>
  </si>
  <si>
    <t xml:space="preserve">TSL200-S9</t>
  </si>
  <si>
    <t xml:space="preserve">Telkomsel 200.000</t>
  </si>
  <si>
    <t xml:space="preserve">Rp. 195.275</t>
  </si>
  <si>
    <t xml:space="preserve">Rp. 195.025</t>
  </si>
  <si>
    <t xml:space="preserve">Rp. 194.825</t>
  </si>
  <si>
    <t xml:space="preserve">Rp. 194.625</t>
  </si>
  <si>
    <t xml:space="preserve">TSL300-S9</t>
  </si>
  <si>
    <t xml:space="preserve">Telkomsel 300.000</t>
  </si>
  <si>
    <t xml:space="preserve">Rp. 300.250</t>
  </si>
  <si>
    <t xml:space="preserve">Rp. 300.000</t>
  </si>
  <si>
    <t xml:space="preserve">Rp. 299.800</t>
  </si>
  <si>
    <t xml:space="preserve">Rp. 299.600</t>
  </si>
  <si>
    <t xml:space="preserve">TSL300</t>
  </si>
  <si>
    <t xml:space="preserve">Rp. 308.485</t>
  </si>
  <si>
    <t xml:space="preserve">Rp. 305.490</t>
  </si>
  <si>
    <t xml:space="preserve">Rp. 302.495</t>
  </si>
  <si>
    <t xml:space="preserve">Rp. 300.998</t>
  </si>
  <si>
    <t xml:space="preserve">TSL500-S9</t>
  </si>
  <si>
    <t xml:space="preserve">Telkomsel 500.000</t>
  </si>
  <si>
    <t xml:space="preserve">Rp. 496.825</t>
  </si>
  <si>
    <t xml:space="preserve">Rp. 496.575</t>
  </si>
  <si>
    <t xml:space="preserve">Rp. 496.375</t>
  </si>
  <si>
    <t xml:space="preserve">Rp. 496.175</t>
  </si>
  <si>
    <t xml:space="preserve">TSL500</t>
  </si>
  <si>
    <t xml:space="preserve">Rp. 510.958</t>
  </si>
  <si>
    <t xml:space="preserve">Rp. 505.997</t>
  </si>
  <si>
    <t xml:space="preserve">Rp. 501.036</t>
  </si>
  <si>
    <t xml:space="preserve">Rp. 498.556</t>
  </si>
  <si>
    <t xml:space="preserve">TSL1000-S9</t>
  </si>
  <si>
    <t xml:space="preserve">Telkomsel 1.000.000</t>
  </si>
  <si>
    <t xml:space="preserve">Rp. 996.275</t>
  </si>
  <si>
    <t xml:space="preserve">Rp. 996.025</t>
  </si>
  <si>
    <t xml:space="preserve">Rp. 995.825</t>
  </si>
  <si>
    <t xml:space="preserve">Rp. 995.625</t>
  </si>
  <si>
    <t xml:space="preserve">TSL1000</t>
  </si>
  <si>
    <t xml:space="preserve">Rp. 1.025.391</t>
  </si>
  <si>
    <t xml:space="preserve">Rp. 1.015.436</t>
  </si>
  <si>
    <t xml:space="preserve">Rp. 1.005.481</t>
  </si>
  <si>
    <t xml:space="preserve">Rp. 1.000.503</t>
  </si>
  <si>
    <t xml:space="preserve">Pulsa Reguler</t>
  </si>
  <si>
    <t xml:space="preserve">Pulsa 10.000</t>
  </si>
  <si>
    <t xml:space="preserve">Pulsa 20.000</t>
  </si>
  <si>
    <t xml:space="preserve">Pulsa 25.000</t>
  </si>
  <si>
    <t xml:space="preserve">Pulsa 30.000</t>
  </si>
  <si>
    <t xml:space="preserve">Pulsa 35.000</t>
  </si>
  <si>
    <t xml:space="preserve">Pulsa 40.000</t>
  </si>
  <si>
    <t xml:space="preserve">Pulsa 45.000</t>
  </si>
  <si>
    <t xml:space="preserve">Pulsa 50.000</t>
  </si>
  <si>
    <t xml:space="preserve">Pulsa 55.000</t>
  </si>
  <si>
    <t xml:space="preserve">Pulsa 60.000</t>
  </si>
  <si>
    <t xml:space="preserve">Pulsa 65.000</t>
  </si>
  <si>
    <t xml:space="preserve">Pulsa 70.000</t>
  </si>
  <si>
    <t xml:space="preserve">Pulsa 75.000</t>
  </si>
  <si>
    <t xml:space="preserve">Pulsa 80.000</t>
  </si>
  <si>
    <t xml:space="preserve">Pulsa 85.000</t>
  </si>
  <si>
    <t xml:space="preserve">Pulsa 90.000</t>
  </si>
  <si>
    <t xml:space="preserve">Pulsa 95.000</t>
  </si>
  <si>
    <t xml:space="preserve">Pulsa 150.000</t>
  </si>
  <si>
    <t xml:space="preserve">Pulsa 200.000</t>
  </si>
  <si>
    <t xml:space="preserve">Pulsa 300.000</t>
  </si>
  <si>
    <t xml:space="preserve">Pulsa 500.000</t>
  </si>
  <si>
    <t xml:space="preserve">Pulsa 1.000.000</t>
  </si>
  <si>
    <t xml:space="preserve">BYU10-S9</t>
  </si>
  <si>
    <t xml:space="preserve">byU</t>
  </si>
  <si>
    <t xml:space="preserve">by.U 10.000</t>
  </si>
  <si>
    <t xml:space="preserve">Rp. 10.765</t>
  </si>
  <si>
    <t xml:space="preserve">Rp. 10.115</t>
  </si>
  <si>
    <t xml:space="preserve">BYU15-S9</t>
  </si>
  <si>
    <t xml:space="preserve">by.U 15.000</t>
  </si>
  <si>
    <t xml:space="preserve">Rp. 15.680</t>
  </si>
  <si>
    <t xml:space="preserve">Rp. 15.430</t>
  </si>
  <si>
    <t xml:space="preserve">Rp. 15.230</t>
  </si>
  <si>
    <t xml:space="preserve">Rp. 15.030</t>
  </si>
  <si>
    <t xml:space="preserve">BYU20-S9</t>
  </si>
  <si>
    <t xml:space="preserve">by.U 20.000</t>
  </si>
  <si>
    <t xml:space="preserve">Rp. 20.585</t>
  </si>
  <si>
    <t xml:space="preserve">Rp. 20.335</t>
  </si>
  <si>
    <t xml:space="preserve">Rp. 20.135</t>
  </si>
  <si>
    <t xml:space="preserve">Rp. 19.935</t>
  </si>
  <si>
    <t xml:space="preserve">BYU25-S9</t>
  </si>
  <si>
    <t xml:space="preserve">by.U 25.000</t>
  </si>
  <si>
    <t xml:space="preserve">Rp. 25.485</t>
  </si>
  <si>
    <t xml:space="preserve">Rp. 25.235</t>
  </si>
  <si>
    <t xml:space="preserve">Rp. 25.035</t>
  </si>
  <si>
    <t xml:space="preserve">Rp. 24.835</t>
  </si>
  <si>
    <t xml:space="preserve">BYU30-S9</t>
  </si>
  <si>
    <t xml:space="preserve">by.U 30.000</t>
  </si>
  <si>
    <t xml:space="preserve">Rp. 30.275</t>
  </si>
  <si>
    <t xml:space="preserve">Rp. 30.025</t>
  </si>
  <si>
    <t xml:space="preserve">Rp. 29.825</t>
  </si>
  <si>
    <t xml:space="preserve">Rp. 29.625</t>
  </si>
  <si>
    <t xml:space="preserve">BYU35-S9</t>
  </si>
  <si>
    <t xml:space="preserve">by.U 35.000</t>
  </si>
  <si>
    <t xml:space="preserve">Rp. 35.480</t>
  </si>
  <si>
    <t xml:space="preserve">Rp. 35.230</t>
  </si>
  <si>
    <t xml:space="preserve">Rp. 35.030</t>
  </si>
  <si>
    <t xml:space="preserve">Rp. 34.830</t>
  </si>
  <si>
    <t xml:space="preserve">BYU40-S9</t>
  </si>
  <si>
    <t xml:space="preserve">by.U 40.000</t>
  </si>
  <si>
    <t xml:space="preserve">Rp. 40.625</t>
  </si>
  <si>
    <t xml:space="preserve">Rp. 40.375</t>
  </si>
  <si>
    <t xml:space="preserve">Rp. 40.175</t>
  </si>
  <si>
    <t xml:space="preserve">Rp. 39.975</t>
  </si>
  <si>
    <t xml:space="preserve">BYU45-S9</t>
  </si>
  <si>
    <t xml:space="preserve">by.U 45.000</t>
  </si>
  <si>
    <t xml:space="preserve">Rp. 45.395</t>
  </si>
  <si>
    <t xml:space="preserve">Rp. 45.145</t>
  </si>
  <si>
    <t xml:space="preserve">Rp. 44.745</t>
  </si>
  <si>
    <t xml:space="preserve">BYU50-S9</t>
  </si>
  <si>
    <t xml:space="preserve">by.U 50.000</t>
  </si>
  <si>
    <t xml:space="preserve">Rp. 50.625</t>
  </si>
  <si>
    <t xml:space="preserve">Rp. 50.375</t>
  </si>
  <si>
    <t xml:space="preserve">Rp. 50.175</t>
  </si>
  <si>
    <t xml:space="preserve">Rp. 49.975</t>
  </si>
  <si>
    <t xml:space="preserve">BYU55-S9</t>
  </si>
  <si>
    <t xml:space="preserve">by.U 55.000</t>
  </si>
  <si>
    <t xml:space="preserve">Rp. 55.295</t>
  </si>
  <si>
    <t xml:space="preserve">Rp. 55.045</t>
  </si>
  <si>
    <t xml:space="preserve">Rp. 54.845</t>
  </si>
  <si>
    <t xml:space="preserve">Rp. 54.645</t>
  </si>
  <si>
    <t xml:space="preserve">BYU60-S9</t>
  </si>
  <si>
    <t xml:space="preserve">by.U 60.000</t>
  </si>
  <si>
    <t xml:space="preserve">Rp. 60.245</t>
  </si>
  <si>
    <t xml:space="preserve">Rp. 59.995</t>
  </si>
  <si>
    <t xml:space="preserve">Rp. 59.795</t>
  </si>
  <si>
    <t xml:space="preserve">Rp. 59.595</t>
  </si>
  <si>
    <t xml:space="preserve">BYU65-S9</t>
  </si>
  <si>
    <t xml:space="preserve">by.U 65.000</t>
  </si>
  <si>
    <t xml:space="preserve">Rp. 65.200</t>
  </si>
  <si>
    <t xml:space="preserve">Rp. 64.950</t>
  </si>
  <si>
    <t xml:space="preserve">Rp. 64.750</t>
  </si>
  <si>
    <t xml:space="preserve">Rp. 64.550</t>
  </si>
  <si>
    <t xml:space="preserve">BYU70-S9</t>
  </si>
  <si>
    <t xml:space="preserve">by.U 70.000</t>
  </si>
  <si>
    <t xml:space="preserve">Rp. 70.125</t>
  </si>
  <si>
    <t xml:space="preserve">Rp. 69.875</t>
  </si>
  <si>
    <t xml:space="preserve">Rp. 69.675</t>
  </si>
  <si>
    <t xml:space="preserve">Rp. 69.475</t>
  </si>
  <si>
    <t xml:space="preserve">BYU75-S9</t>
  </si>
  <si>
    <t xml:space="preserve">by.U 75.000</t>
  </si>
  <si>
    <t xml:space="preserve">Rp. 73.960</t>
  </si>
  <si>
    <t xml:space="preserve">Rp. 73.710</t>
  </si>
  <si>
    <t xml:space="preserve">Rp. 73.510</t>
  </si>
  <si>
    <t xml:space="preserve">Rp. 73.310</t>
  </si>
  <si>
    <t xml:space="preserve">BYU80-S9</t>
  </si>
  <si>
    <t xml:space="preserve">by.U 80.000</t>
  </si>
  <si>
    <t xml:space="preserve">BYU85-S9</t>
  </si>
  <si>
    <t xml:space="preserve">by.U 85.000</t>
  </si>
  <si>
    <t xml:space="preserve">Rp. 84.955</t>
  </si>
  <si>
    <t xml:space="preserve">Rp. 84.705</t>
  </si>
  <si>
    <t xml:space="preserve">Rp. 84.505</t>
  </si>
  <si>
    <t xml:space="preserve">Rp. 84.305</t>
  </si>
  <si>
    <t xml:space="preserve">BYU90-S9</t>
  </si>
  <si>
    <t xml:space="preserve">by.U 90.000</t>
  </si>
  <si>
    <t xml:space="preserve">Rp. 89.920</t>
  </si>
  <si>
    <t xml:space="preserve">Rp. 89.670</t>
  </si>
  <si>
    <t xml:space="preserve">Rp. 89.470</t>
  </si>
  <si>
    <t xml:space="preserve">Rp. 89.270</t>
  </si>
  <si>
    <t xml:space="preserve">BYU95-S9</t>
  </si>
  <si>
    <t xml:space="preserve">by.U 95.000</t>
  </si>
  <si>
    <t xml:space="preserve">BYU100-S9</t>
  </si>
  <si>
    <t xml:space="preserve">by.U 100.000</t>
  </si>
  <si>
    <t xml:space="preserve">Rp. 99.825</t>
  </si>
  <si>
    <t xml:space="preserve">Rp. 99.575</t>
  </si>
  <si>
    <t xml:space="preserve">Rp. 99.375</t>
  </si>
  <si>
    <t xml:space="preserve">Rp. 99.175</t>
  </si>
  <si>
    <t xml:space="preserve">BYU150-S9</t>
  </si>
  <si>
    <t xml:space="preserve">by.U 150.000</t>
  </si>
  <si>
    <t xml:space="preserve">Rp. 149.475</t>
  </si>
  <si>
    <t xml:space="preserve">Rp. 149.225</t>
  </si>
  <si>
    <t xml:space="preserve">Rp. 149.025</t>
  </si>
  <si>
    <t xml:space="preserve">Rp. 148.825</t>
  </si>
  <si>
    <t xml:space="preserve">ISAT10-S9</t>
  </si>
  <si>
    <t xml:space="preserve">Indosat</t>
  </si>
  <si>
    <t xml:space="preserve">Indosat 10.000</t>
  </si>
  <si>
    <t xml:space="preserve">Rp. 11.580</t>
  </si>
  <si>
    <t xml:space="preserve">Rp. 11.330</t>
  </si>
  <si>
    <t xml:space="preserve">Rp. 11.130</t>
  </si>
  <si>
    <t xml:space="preserve">Rp. 10.930</t>
  </si>
  <si>
    <t xml:space="preserve">ISAT15-S9</t>
  </si>
  <si>
    <t xml:space="preserve">Indosat 15.000</t>
  </si>
  <si>
    <t xml:space="preserve">Rp. 15.650</t>
  </si>
  <si>
    <t xml:space="preserve">Rp. 15.400</t>
  </si>
  <si>
    <t xml:space="preserve">Rp. 15.000</t>
  </si>
  <si>
    <t xml:space="preserve">ISAT20-S9</t>
  </si>
  <si>
    <t xml:space="preserve">Indosat 20.000</t>
  </si>
  <si>
    <t xml:space="preserve">Rp. 20.050</t>
  </si>
  <si>
    <t xml:space="preserve">Rp. 19.850</t>
  </si>
  <si>
    <t xml:space="preserve">Rp. 19.650</t>
  </si>
  <si>
    <t xml:space="preserve">ISAT25-S9</t>
  </si>
  <si>
    <t xml:space="preserve">Indosat 25.000</t>
  </si>
  <si>
    <t xml:space="preserve">Rp. 25.615</t>
  </si>
  <si>
    <t xml:space="preserve">Rp. 25.365</t>
  </si>
  <si>
    <t xml:space="preserve">Rp. 24.965</t>
  </si>
  <si>
    <t xml:space="preserve">ISAT30-S9</t>
  </si>
  <si>
    <t xml:space="preserve">Indosat 30.000</t>
  </si>
  <si>
    <t xml:space="preserve">Rp. 30.415</t>
  </si>
  <si>
    <t xml:space="preserve">Rp. 30.165</t>
  </si>
  <si>
    <t xml:space="preserve">Rp. 29.965</t>
  </si>
  <si>
    <t xml:space="preserve">Rp. 29.765</t>
  </si>
  <si>
    <t xml:space="preserve">ISAT40-S9</t>
  </si>
  <si>
    <t xml:space="preserve">Indosat 40.000</t>
  </si>
  <si>
    <t xml:space="preserve">Rp. 40.300</t>
  </si>
  <si>
    <t xml:space="preserve">Rp. 40.050</t>
  </si>
  <si>
    <t xml:space="preserve">Rp. 39.850</t>
  </si>
  <si>
    <t xml:space="preserve">Rp. 39.650</t>
  </si>
  <si>
    <t xml:space="preserve">ISAT50-S9</t>
  </si>
  <si>
    <t xml:space="preserve">Indosat 50.000</t>
  </si>
  <si>
    <t xml:space="preserve">Rp. 49.875</t>
  </si>
  <si>
    <t xml:space="preserve">Rp. 49.625</t>
  </si>
  <si>
    <t xml:space="preserve">Rp. 49.425</t>
  </si>
  <si>
    <t xml:space="preserve">Rp. 49.225</t>
  </si>
  <si>
    <t xml:space="preserve">ISAT60-S9</t>
  </si>
  <si>
    <t xml:space="preserve">Indosat 60.000</t>
  </si>
  <si>
    <t xml:space="preserve">Rp. 59.750</t>
  </si>
  <si>
    <t xml:space="preserve">Rp. 59.500</t>
  </si>
  <si>
    <t xml:space="preserve">Rp. 59.100</t>
  </si>
  <si>
    <t xml:space="preserve">ISAT70-S9</t>
  </si>
  <si>
    <t xml:space="preserve">Indosat 70.000</t>
  </si>
  <si>
    <t xml:space="preserve">Rp. 68.740</t>
  </si>
  <si>
    <t xml:space="preserve">Rp. 68.490</t>
  </si>
  <si>
    <t xml:space="preserve">Rp. 68.290</t>
  </si>
  <si>
    <t xml:space="preserve">Rp. 68.090</t>
  </si>
  <si>
    <t xml:space="preserve">ISAT80-S9</t>
  </si>
  <si>
    <t xml:space="preserve">Indosat 80.000</t>
  </si>
  <si>
    <t xml:space="preserve">Rp. 79.075</t>
  </si>
  <si>
    <t xml:space="preserve">Rp. 78.825</t>
  </si>
  <si>
    <t xml:space="preserve">Rp. 78.625</t>
  </si>
  <si>
    <t xml:space="preserve">Rp. 78.425</t>
  </si>
  <si>
    <t xml:space="preserve">ISAT90-S9</t>
  </si>
  <si>
    <t xml:space="preserve">Indosat 90.000</t>
  </si>
  <si>
    <t xml:space="preserve">Rp. 87.695</t>
  </si>
  <si>
    <t xml:space="preserve">Rp. 87.445</t>
  </si>
  <si>
    <t xml:space="preserve">Rp. 87.245</t>
  </si>
  <si>
    <t xml:space="preserve">Rp. 87.045</t>
  </si>
  <si>
    <t xml:space="preserve">ISAT100-S9</t>
  </si>
  <si>
    <t xml:space="preserve">Indosat 100.000</t>
  </si>
  <si>
    <t xml:space="preserve">Rp. 98.025</t>
  </si>
  <si>
    <t xml:space="preserve">Rp. 97.775</t>
  </si>
  <si>
    <t xml:space="preserve">Rp. 97.575</t>
  </si>
  <si>
    <t xml:space="preserve">Rp. 97.375</t>
  </si>
  <si>
    <t xml:space="preserve">ISAT125-S9</t>
  </si>
  <si>
    <t xml:space="preserve">Indosat 125.000</t>
  </si>
  <si>
    <t xml:space="preserve">Rp. 123.375</t>
  </si>
  <si>
    <t xml:space="preserve">Rp. 123.125</t>
  </si>
  <si>
    <t xml:space="preserve">Rp. 122.925</t>
  </si>
  <si>
    <t xml:space="preserve">Rp. 122.725</t>
  </si>
  <si>
    <t xml:space="preserve">ISAT150-S9</t>
  </si>
  <si>
    <t xml:space="preserve">Indosat 150.000</t>
  </si>
  <si>
    <t xml:space="preserve">Rp. 145.150</t>
  </si>
  <si>
    <t xml:space="preserve">Rp. 144.900</t>
  </si>
  <si>
    <t xml:space="preserve">Rp. 144.700</t>
  </si>
  <si>
    <t xml:space="preserve">Rp. 144.500</t>
  </si>
  <si>
    <t xml:space="preserve">ISAT175-S9</t>
  </si>
  <si>
    <t xml:space="preserve">Indosat 175.000</t>
  </si>
  <si>
    <t xml:space="preserve">Rp. 167.300</t>
  </si>
  <si>
    <t xml:space="preserve">Rp. 167.050</t>
  </si>
  <si>
    <t xml:space="preserve">Rp. 166.850</t>
  </si>
  <si>
    <t xml:space="preserve">Rp. 166.650</t>
  </si>
  <si>
    <t xml:space="preserve">ISAT200-S9</t>
  </si>
  <si>
    <t xml:space="preserve">Indosat 200.000</t>
  </si>
  <si>
    <t xml:space="preserve">Rp. 187.725</t>
  </si>
  <si>
    <t xml:space="preserve">Rp. 187.475</t>
  </si>
  <si>
    <t xml:space="preserve">Rp. 187.275</t>
  </si>
  <si>
    <t xml:space="preserve">Rp. 187.075</t>
  </si>
  <si>
    <t xml:space="preserve">ISAT250-S9</t>
  </si>
  <si>
    <t xml:space="preserve">Indosat 250.000</t>
  </si>
  <si>
    <t xml:space="preserve">Rp. 234.450</t>
  </si>
  <si>
    <t xml:space="preserve">Rp. 234.200</t>
  </si>
  <si>
    <t xml:space="preserve">Rp. 234.000</t>
  </si>
  <si>
    <t xml:space="preserve">Rp. 233.800</t>
  </si>
  <si>
    <t xml:space="preserve">ISAT500-S9</t>
  </si>
  <si>
    <t xml:space="preserve">Indosat 500.000</t>
  </si>
  <si>
    <t xml:space="preserve">Rp. 464.250</t>
  </si>
  <si>
    <t xml:space="preserve">Rp. 464.000</t>
  </si>
  <si>
    <t xml:space="preserve">Rp. 463.800</t>
  </si>
  <si>
    <t xml:space="preserve">Rp. 463.600</t>
  </si>
  <si>
    <t xml:space="preserve">ISAT1000-S9</t>
  </si>
  <si>
    <t xml:space="preserve">Indosat 1.000.000</t>
  </si>
  <si>
    <t xml:space="preserve">Rp. 928.250</t>
  </si>
  <si>
    <t xml:space="preserve">Rp. 928.000</t>
  </si>
  <si>
    <t xml:space="preserve">Rp. 927.800</t>
  </si>
  <si>
    <t xml:space="preserve">Rp. 927.600</t>
  </si>
  <si>
    <t xml:space="preserve">Indosat 5.000</t>
  </si>
  <si>
    <t xml:space="preserve">Indosat 12.000</t>
  </si>
  <si>
    <t xml:space="preserve">AXIS10-S9</t>
  </si>
  <si>
    <t xml:space="preserve">Axis</t>
  </si>
  <si>
    <t xml:space="preserve">Axis 10.000</t>
  </si>
  <si>
    <t xml:space="preserve">Rp. 10.950</t>
  </si>
  <si>
    <t xml:space="preserve">Rp. 10.700</t>
  </si>
  <si>
    <t xml:space="preserve">Rp. 10.500</t>
  </si>
  <si>
    <t xml:space="preserve">Rp. 10.300</t>
  </si>
  <si>
    <t xml:space="preserve">AXIS15-S9</t>
  </si>
  <si>
    <t xml:space="preserve">Axis 15.000</t>
  </si>
  <si>
    <t xml:space="preserve">Rp. 15.360</t>
  </si>
  <si>
    <t xml:space="preserve">Rp. 15.110</t>
  </si>
  <si>
    <t xml:space="preserve">Rp. 14.910</t>
  </si>
  <si>
    <t xml:space="preserve">Rp. 14.710</t>
  </si>
  <si>
    <t xml:space="preserve">AXIS25-S9</t>
  </si>
  <si>
    <t xml:space="preserve">Axis 25.000</t>
  </si>
  <si>
    <t xml:space="preserve">Rp. 25.060</t>
  </si>
  <si>
    <t xml:space="preserve">Rp. 24.810</t>
  </si>
  <si>
    <t xml:space="preserve">Rp. 24.610</t>
  </si>
  <si>
    <t xml:space="preserve">Rp. 24.410</t>
  </si>
  <si>
    <t xml:space="preserve">AXIS30-S9</t>
  </si>
  <si>
    <t xml:space="preserve">Axis 30.000</t>
  </si>
  <si>
    <t xml:space="preserve">Rp. 30.589</t>
  </si>
  <si>
    <t xml:space="preserve">Rp. 30.339</t>
  </si>
  <si>
    <t xml:space="preserve">Rp. 30.139</t>
  </si>
  <si>
    <t xml:space="preserve">Rp. 29.939</t>
  </si>
  <si>
    <t xml:space="preserve">AXIS50-S9</t>
  </si>
  <si>
    <t xml:space="preserve">Axis 50.000</t>
  </si>
  <si>
    <t xml:space="preserve">Rp. 50.405</t>
  </si>
  <si>
    <t xml:space="preserve">Rp. 50.155</t>
  </si>
  <si>
    <t xml:space="preserve">Rp. 49.755</t>
  </si>
  <si>
    <t xml:space="preserve">AXIS100-S9</t>
  </si>
  <si>
    <t xml:space="preserve">Axis 100.000</t>
  </si>
  <si>
    <t xml:space="preserve">Rp. 99.490</t>
  </si>
  <si>
    <t xml:space="preserve">Rp. 99.240</t>
  </si>
  <si>
    <t xml:space="preserve">Rp. 99.040</t>
  </si>
  <si>
    <t xml:space="preserve">Rp. 98.840</t>
  </si>
  <si>
    <t xml:space="preserve">AXIS200-S9</t>
  </si>
  <si>
    <t xml:space="preserve">Axis 200.000</t>
  </si>
  <si>
    <t xml:space="preserve">Rp. 200.435</t>
  </si>
  <si>
    <t xml:space="preserve">Rp. 200.185</t>
  </si>
  <si>
    <t xml:space="preserve">Rp. 199.985</t>
  </si>
  <si>
    <t xml:space="preserve">Rp. 199.785</t>
  </si>
  <si>
    <t xml:space="preserve">AXIS300-S9</t>
  </si>
  <si>
    <t xml:space="preserve">Axis 300.000</t>
  </si>
  <si>
    <t xml:space="preserve">Rp. 299.025</t>
  </si>
  <si>
    <t xml:space="preserve">Rp. 298.775</t>
  </si>
  <si>
    <t xml:space="preserve">Rp. 298.575</t>
  </si>
  <si>
    <t xml:space="preserve">Rp. 298.375</t>
  </si>
  <si>
    <t xml:space="preserve">AXIS500-S9</t>
  </si>
  <si>
    <t xml:space="preserve">Axis 500.000</t>
  </si>
  <si>
    <t xml:space="preserve">Rp. 496.350</t>
  </si>
  <si>
    <t xml:space="preserve">Rp. 496.100</t>
  </si>
  <si>
    <t xml:space="preserve">Rp. 495.900</t>
  </si>
  <si>
    <t xml:space="preserve">Rp. 495.700</t>
  </si>
  <si>
    <t xml:space="preserve">AXIS1000-S9</t>
  </si>
  <si>
    <t xml:space="preserve">Axis 1.000.000</t>
  </si>
  <si>
    <t xml:space="preserve">Rp. 994.460</t>
  </si>
  <si>
    <t xml:space="preserve">Rp. 994.210</t>
  </si>
  <si>
    <t xml:space="preserve">Rp. 994.010</t>
  </si>
  <si>
    <t xml:space="preserve">Rp. 993.810</t>
  </si>
  <si>
    <t xml:space="preserve">Axis 5.000</t>
  </si>
  <si>
    <t xml:space="preserve">XL15-S9</t>
  </si>
  <si>
    <t xml:space="preserve">XL</t>
  </si>
  <si>
    <t xml:space="preserve">Xl 15.000</t>
  </si>
  <si>
    <t xml:space="preserve">Rp. 15.445</t>
  </si>
  <si>
    <t xml:space="preserve">Rp. 15.195</t>
  </si>
  <si>
    <t xml:space="preserve">Rp. 14.995</t>
  </si>
  <si>
    <t xml:space="preserve">Rp. 14.795</t>
  </si>
  <si>
    <t xml:space="preserve">XL25-S9</t>
  </si>
  <si>
    <t xml:space="preserve">Xl 25.000</t>
  </si>
  <si>
    <t xml:space="preserve">Rp. 25.570</t>
  </si>
  <si>
    <t xml:space="preserve">Rp. 25.320</t>
  </si>
  <si>
    <t xml:space="preserve">Rp. 25.120</t>
  </si>
  <si>
    <t xml:space="preserve">Rp. 24.920</t>
  </si>
  <si>
    <t xml:space="preserve">XL30-S9</t>
  </si>
  <si>
    <t xml:space="preserve">XL 30.000</t>
  </si>
  <si>
    <t xml:space="preserve">Rp. 29.800</t>
  </si>
  <si>
    <t xml:space="preserve">Rp. 29.550</t>
  </si>
  <si>
    <t xml:space="preserve">Rp. 29.350</t>
  </si>
  <si>
    <t xml:space="preserve">Rp. 29.150</t>
  </si>
  <si>
    <t xml:space="preserve">XL40-S9</t>
  </si>
  <si>
    <t xml:space="preserve">XL 40.000</t>
  </si>
  <si>
    <t xml:space="preserve">Rp. 39.675</t>
  </si>
  <si>
    <t xml:space="preserve">Rp. 39.425</t>
  </si>
  <si>
    <t xml:space="preserve">Rp. 39.225</t>
  </si>
  <si>
    <t xml:space="preserve">Rp. 39.025</t>
  </si>
  <si>
    <t xml:space="preserve">XL50-S9</t>
  </si>
  <si>
    <t xml:space="preserve">Xl 50.000</t>
  </si>
  <si>
    <t xml:space="preserve">Rp. 48.750</t>
  </si>
  <si>
    <t xml:space="preserve">Rp. 48.500</t>
  </si>
  <si>
    <t xml:space="preserve">Rp. 48.300</t>
  </si>
  <si>
    <t xml:space="preserve">Rp. 48.100</t>
  </si>
  <si>
    <t xml:space="preserve">XL100-S9</t>
  </si>
  <si>
    <t xml:space="preserve">Xl 100.000</t>
  </si>
  <si>
    <t xml:space="preserve">Rp. 99.525</t>
  </si>
  <si>
    <t xml:space="preserve">Rp. 99.275</t>
  </si>
  <si>
    <t xml:space="preserve">Rp. 99.075</t>
  </si>
  <si>
    <t xml:space="preserve">Rp. 98.875</t>
  </si>
  <si>
    <t xml:space="preserve">XL150-S9</t>
  </si>
  <si>
    <t xml:space="preserve">Xl 150.000</t>
  </si>
  <si>
    <t xml:space="preserve">Rp. 150.060</t>
  </si>
  <si>
    <t xml:space="preserve">Rp. 149.810</t>
  </si>
  <si>
    <t xml:space="preserve">Rp. 149.610</t>
  </si>
  <si>
    <t xml:space="preserve">Rp. 149.410</t>
  </si>
  <si>
    <t xml:space="preserve">XL200-S9</t>
  </si>
  <si>
    <t xml:space="preserve">Xl 200.000</t>
  </si>
  <si>
    <t xml:space="preserve">Rp. 199.590</t>
  </si>
  <si>
    <t xml:space="preserve">Rp. 199.340</t>
  </si>
  <si>
    <t xml:space="preserve">Rp. 199.140</t>
  </si>
  <si>
    <t xml:space="preserve">Rp. 198.940</t>
  </si>
  <si>
    <t xml:space="preserve">XL300-S9</t>
  </si>
  <si>
    <t xml:space="preserve">Xl 300.000</t>
  </si>
  <si>
    <t xml:space="preserve">Rp. 299.350</t>
  </si>
  <si>
    <t xml:space="preserve">Rp. 299.100</t>
  </si>
  <si>
    <t xml:space="preserve">Rp. 298.900</t>
  </si>
  <si>
    <t xml:space="preserve">Rp. 298.700</t>
  </si>
  <si>
    <t xml:space="preserve">XL500-S9</t>
  </si>
  <si>
    <t xml:space="preserve">Xl 500.000</t>
  </si>
  <si>
    <t xml:space="preserve">Rp. 498.400</t>
  </si>
  <si>
    <t xml:space="preserve">Rp. 498.150</t>
  </si>
  <si>
    <t xml:space="preserve">Rp. 497.950</t>
  </si>
  <si>
    <t xml:space="preserve">Rp. 497.750</t>
  </si>
  <si>
    <t xml:space="preserve">XL1000-S9</t>
  </si>
  <si>
    <t xml:space="preserve">Xl 1.000.000</t>
  </si>
  <si>
    <t xml:space="preserve">Rp. 993.875</t>
  </si>
  <si>
    <t xml:space="preserve">Rp. 993.625</t>
  </si>
  <si>
    <t xml:space="preserve">Rp. 993.425</t>
  </si>
  <si>
    <t xml:space="preserve">Rp. 993.225</t>
  </si>
  <si>
    <t xml:space="preserve">Xl 5.000</t>
  </si>
  <si>
    <t xml:space="preserve">XL 10.000</t>
  </si>
  <si>
    <t xml:space="preserve">XL 15.000</t>
  </si>
  <si>
    <t xml:space="preserve">XL 25.000</t>
  </si>
  <si>
    <t xml:space="preserve">XL 50.000</t>
  </si>
  <si>
    <t xml:space="preserve">XL 100.000</t>
  </si>
  <si>
    <t xml:space="preserve">TRI10-S9</t>
  </si>
  <si>
    <t xml:space="preserve">TRI</t>
  </si>
  <si>
    <t xml:space="preserve">Three 10.000</t>
  </si>
  <si>
    <t xml:space="preserve">Rp. 11.107</t>
  </si>
  <si>
    <t xml:space="preserve">Rp. 10.857</t>
  </si>
  <si>
    <t xml:space="preserve">Rp. 10.657</t>
  </si>
  <si>
    <t xml:space="preserve">Rp. 10.457</t>
  </si>
  <si>
    <t xml:space="preserve">TRI15-S9</t>
  </si>
  <si>
    <t xml:space="preserve">Three 15.000</t>
  </si>
  <si>
    <t xml:space="preserve">Rp. 15.583</t>
  </si>
  <si>
    <t xml:space="preserve">Rp. 15.333</t>
  </si>
  <si>
    <t xml:space="preserve">Rp. 15.133</t>
  </si>
  <si>
    <t xml:space="preserve">Rp. 14.933</t>
  </si>
  <si>
    <t xml:space="preserve">TRI20-S9</t>
  </si>
  <si>
    <t xml:space="preserve">Three 20.000</t>
  </si>
  <si>
    <t xml:space="preserve">Rp. 20.400</t>
  </si>
  <si>
    <t xml:space="preserve">Rp. 20.150</t>
  </si>
  <si>
    <t xml:space="preserve">Rp. 19.950</t>
  </si>
  <si>
    <t xml:space="preserve">Rp. 19.750</t>
  </si>
  <si>
    <t xml:space="preserve">TRI25-S9</t>
  </si>
  <si>
    <t xml:space="preserve">Three 25.000</t>
  </si>
  <si>
    <t xml:space="preserve">Rp. 25.494</t>
  </si>
  <si>
    <t xml:space="preserve">Rp. 25.244</t>
  </si>
  <si>
    <t xml:space="preserve">Rp. 25.044</t>
  </si>
  <si>
    <t xml:space="preserve">Rp. 24.844</t>
  </si>
  <si>
    <t xml:space="preserve">TRI30-S9</t>
  </si>
  <si>
    <t xml:space="preserve">Three 30.000</t>
  </si>
  <si>
    <t xml:space="preserve">TRI40-S9</t>
  </si>
  <si>
    <t xml:space="preserve">Three 40.000</t>
  </si>
  <si>
    <t xml:space="preserve">Rp. 40.355</t>
  </si>
  <si>
    <t xml:space="preserve">Rp. 40.105</t>
  </si>
  <si>
    <t xml:space="preserve">Rp. 39.905</t>
  </si>
  <si>
    <t xml:space="preserve">Rp. 39.705</t>
  </si>
  <si>
    <t xml:space="preserve">TRI50-S9</t>
  </si>
  <si>
    <t xml:space="preserve">Three 50.000</t>
  </si>
  <si>
    <t xml:space="preserve">Rp. 49.135</t>
  </si>
  <si>
    <t xml:space="preserve">Rp. 48.685</t>
  </si>
  <si>
    <t xml:space="preserve">Rp. 48.485</t>
  </si>
  <si>
    <t xml:space="preserve">TRI75-S9</t>
  </si>
  <si>
    <t xml:space="preserve">Three 75.000</t>
  </si>
  <si>
    <t xml:space="preserve">Rp. 73.825</t>
  </si>
  <si>
    <t xml:space="preserve">Rp. 73.575</t>
  </si>
  <si>
    <t xml:space="preserve">Rp. 73.375</t>
  </si>
  <si>
    <t xml:space="preserve">Rp. 73.175</t>
  </si>
  <si>
    <t xml:space="preserve">TRI80-S9</t>
  </si>
  <si>
    <t xml:space="preserve">Three 80.000</t>
  </si>
  <si>
    <t xml:space="preserve">Rp. 77.035</t>
  </si>
  <si>
    <t xml:space="preserve">Rp. 76.785</t>
  </si>
  <si>
    <t xml:space="preserve">Rp. 76.585</t>
  </si>
  <si>
    <t xml:space="preserve">Rp. 76.385</t>
  </si>
  <si>
    <t xml:space="preserve">TRI100-S9</t>
  </si>
  <si>
    <t xml:space="preserve">Three 100.000</t>
  </si>
  <si>
    <t xml:space="preserve">Rp. 97.745</t>
  </si>
  <si>
    <t xml:space="preserve">Rp. 97.495</t>
  </si>
  <si>
    <t xml:space="preserve">Rp. 97.295</t>
  </si>
  <si>
    <t xml:space="preserve">Rp. 97.095</t>
  </si>
  <si>
    <t xml:space="preserve">TRI150-S9</t>
  </si>
  <si>
    <t xml:space="preserve">Three 150.000</t>
  </si>
  <si>
    <t xml:space="preserve">Rp. 148.416</t>
  </si>
  <si>
    <t xml:space="preserve">Rp. 148.166</t>
  </si>
  <si>
    <t xml:space="preserve">Rp. 147.966</t>
  </si>
  <si>
    <t xml:space="preserve">Rp. 147.766</t>
  </si>
  <si>
    <t xml:space="preserve">TRI200-S9</t>
  </si>
  <si>
    <t xml:space="preserve">Three 200.000</t>
  </si>
  <si>
    <t xml:space="preserve">Rp. 195.466</t>
  </si>
  <si>
    <t xml:space="preserve">Rp. 195.216</t>
  </si>
  <si>
    <t xml:space="preserve">Rp. 195.016</t>
  </si>
  <si>
    <t xml:space="preserve">Rp. 194.816</t>
  </si>
  <si>
    <t xml:space="preserve">TRI300-S9</t>
  </si>
  <si>
    <t xml:space="preserve">Three 300.000</t>
  </si>
  <si>
    <t xml:space="preserve">Rp. 295.566</t>
  </si>
  <si>
    <t xml:space="preserve">Rp. 295.316</t>
  </si>
  <si>
    <t xml:space="preserve">Rp. 295.116</t>
  </si>
  <si>
    <t xml:space="preserve">Rp. 294.916</t>
  </si>
  <si>
    <t xml:space="preserve">TRI400-S9</t>
  </si>
  <si>
    <t xml:space="preserve">Three 400.000</t>
  </si>
  <si>
    <t xml:space="preserve">Rp. 390.400</t>
  </si>
  <si>
    <t xml:space="preserve">Rp. 390.150</t>
  </si>
  <si>
    <t xml:space="preserve">Rp. 389.950</t>
  </si>
  <si>
    <t xml:space="preserve">Rp. 389.750</t>
  </si>
  <si>
    <t xml:space="preserve">TRI500-S9</t>
  </si>
  <si>
    <t xml:space="preserve">Three 500.000</t>
  </si>
  <si>
    <t xml:space="preserve">Rp. 491.766</t>
  </si>
  <si>
    <t xml:space="preserve">Rp. 491.516</t>
  </si>
  <si>
    <t xml:space="preserve">Rp. 491.316</t>
  </si>
  <si>
    <t xml:space="preserve">Rp. 491.116</t>
  </si>
  <si>
    <t xml:space="preserve">SMART10-S9</t>
  </si>
  <si>
    <t xml:space="preserve">SMARTFREN</t>
  </si>
  <si>
    <t xml:space="preserve">Smartfren 10.000</t>
  </si>
  <si>
    <t xml:space="preserve">Rp. 10.800</t>
  </si>
  <si>
    <t xml:space="preserve">Rp. 10.520</t>
  </si>
  <si>
    <t xml:space="preserve">Rp. 10.320</t>
  </si>
  <si>
    <t xml:space="preserve">Rp. 10.120</t>
  </si>
  <si>
    <t xml:space="preserve">SMART20-S9</t>
  </si>
  <si>
    <t xml:space="preserve">Smartfren 20.000</t>
  </si>
  <si>
    <t xml:space="preserve">Rp. 20.700</t>
  </si>
  <si>
    <t xml:space="preserve">Rp. 20.405</t>
  </si>
  <si>
    <t xml:space="preserve">Rp. 20.205</t>
  </si>
  <si>
    <t xml:space="preserve">Rp. 20.005</t>
  </si>
  <si>
    <t xml:space="preserve">SMART25-S9</t>
  </si>
  <si>
    <t xml:space="preserve">Smartfren 25.000</t>
  </si>
  <si>
    <t xml:space="preserve">Rp. 25.900</t>
  </si>
  <si>
    <t xml:space="preserve">Rp. 25.560</t>
  </si>
  <si>
    <t xml:space="preserve">Rp. 25.360</t>
  </si>
  <si>
    <t xml:space="preserve">Rp. 25.160</t>
  </si>
  <si>
    <t xml:space="preserve">SMART30-S9</t>
  </si>
  <si>
    <t xml:space="preserve">Smartfren 30.000</t>
  </si>
  <si>
    <t xml:space="preserve">Rp. 30.900</t>
  </si>
  <si>
    <t xml:space="preserve">Rp. 30.575</t>
  </si>
  <si>
    <t xml:space="preserve">Rp. 30.375</t>
  </si>
  <si>
    <t xml:space="preserve">SMART35-S9</t>
  </si>
  <si>
    <t xml:space="preserve">Smartfren 35.000</t>
  </si>
  <si>
    <t xml:space="preserve">Rp. 35.800</t>
  </si>
  <si>
    <t xml:space="preserve">Rp. 35.539</t>
  </si>
  <si>
    <t xml:space="preserve">Rp. 35.339</t>
  </si>
  <si>
    <t xml:space="preserve">Rp. 35.139</t>
  </si>
  <si>
    <t xml:space="preserve">SMART40-S9</t>
  </si>
  <si>
    <t xml:space="preserve">Smartfren 40.000</t>
  </si>
  <si>
    <t xml:space="preserve">Rp. 40.539</t>
  </si>
  <si>
    <t xml:space="preserve">Rp. 40.339</t>
  </si>
  <si>
    <t xml:space="preserve">Rp. 40.139</t>
  </si>
  <si>
    <t xml:space="preserve">SMART45-S9</t>
  </si>
  <si>
    <t xml:space="preserve">Smartfren 45.000</t>
  </si>
  <si>
    <t xml:space="preserve">Rp. 45.539</t>
  </si>
  <si>
    <t xml:space="preserve">Rp. 45.339</t>
  </si>
  <si>
    <t xml:space="preserve">Rp. 45.139</t>
  </si>
  <si>
    <t xml:space="preserve">SMART50-S9</t>
  </si>
  <si>
    <t xml:space="preserve">Smartfren 50.000</t>
  </si>
  <si>
    <t xml:space="preserve">Rp. 50.900</t>
  </si>
  <si>
    <t xml:space="preserve">Rp. 50.590</t>
  </si>
  <si>
    <t xml:space="preserve">Rp. 50.390</t>
  </si>
  <si>
    <t xml:space="preserve">Rp. 50.190</t>
  </si>
  <si>
    <t xml:space="preserve">SMART55-S9</t>
  </si>
  <si>
    <t xml:space="preserve">Smartfren 55.000</t>
  </si>
  <si>
    <t xml:space="preserve">Rp. 55.800</t>
  </si>
  <si>
    <t xml:space="preserve">Rp. 55.539</t>
  </si>
  <si>
    <t xml:space="preserve">Rp. 55.339</t>
  </si>
  <si>
    <t xml:space="preserve">Rp. 55.139</t>
  </si>
  <si>
    <t xml:space="preserve">SMART65-S9</t>
  </si>
  <si>
    <t xml:space="preserve">Smartfren 65.000</t>
  </si>
  <si>
    <t xml:space="preserve">Rp. 65.800</t>
  </si>
  <si>
    <t xml:space="preserve">Rp. 65.539</t>
  </si>
  <si>
    <t xml:space="preserve">Rp. 65.339</t>
  </si>
  <si>
    <t xml:space="preserve">Rp. 65.139</t>
  </si>
  <si>
    <t xml:space="preserve">SMART70-S9</t>
  </si>
  <si>
    <t xml:space="preserve">Smartfren 70.000</t>
  </si>
  <si>
    <t xml:space="preserve">Rp. 70.800</t>
  </si>
  <si>
    <t xml:space="preserve">Rp. 70.539</t>
  </si>
  <si>
    <t xml:space="preserve">Rp. 70.339</t>
  </si>
  <si>
    <t xml:space="preserve">Rp. 70.139</t>
  </si>
  <si>
    <t xml:space="preserve">SMART75-S9</t>
  </si>
  <si>
    <t xml:space="preserve">Smartfren 75.000</t>
  </si>
  <si>
    <t xml:space="preserve">Rp. 75.800</t>
  </si>
  <si>
    <t xml:space="preserve">Rp. 75.539</t>
  </si>
  <si>
    <t xml:space="preserve">Rp. 75.339</t>
  </si>
  <si>
    <t xml:space="preserve">Rp. 75.139</t>
  </si>
  <si>
    <t xml:space="preserve">SMART80-S9</t>
  </si>
  <si>
    <t xml:space="preserve">Smartfren 80.000</t>
  </si>
  <si>
    <t xml:space="preserve">Rp. 80.800</t>
  </si>
  <si>
    <t xml:space="preserve">Rp. 80.539</t>
  </si>
  <si>
    <t xml:space="preserve">Rp. 80.339</t>
  </si>
  <si>
    <t xml:space="preserve">Rp. 80.139</t>
  </si>
  <si>
    <t xml:space="preserve">SMART85-S9</t>
  </si>
  <si>
    <t xml:space="preserve">Smartfren 85.000</t>
  </si>
  <si>
    <t xml:space="preserve">Rp. 85.800</t>
  </si>
  <si>
    <t xml:space="preserve">Rp. 85.539</t>
  </si>
  <si>
    <t xml:space="preserve">Rp. 85.339</t>
  </si>
  <si>
    <t xml:space="preserve">Rp. 85.139</t>
  </si>
  <si>
    <t xml:space="preserve">SMART90-S9</t>
  </si>
  <si>
    <t xml:space="preserve">Smartfren 90.000</t>
  </si>
  <si>
    <t xml:space="preserve">Rp. 90.800</t>
  </si>
  <si>
    <t xml:space="preserve">Rp. 90.539</t>
  </si>
  <si>
    <t xml:space="preserve">Rp. 90.339</t>
  </si>
  <si>
    <t xml:space="preserve">Rp. 90.139</t>
  </si>
  <si>
    <t xml:space="preserve">SMART95-S9</t>
  </si>
  <si>
    <t xml:space="preserve">Smartfren 95.000</t>
  </si>
  <si>
    <t xml:space="preserve">Rp. 95.539</t>
  </si>
  <si>
    <t xml:space="preserve">Rp. 95.339</t>
  </si>
  <si>
    <t xml:space="preserve">Rp. 95.139</t>
  </si>
  <si>
    <t xml:space="preserve">SMART100-S9</t>
  </si>
  <si>
    <t xml:space="preserve">Smartfren 100.000</t>
  </si>
  <si>
    <t xml:space="preserve">Rp. 101.000</t>
  </si>
  <si>
    <t xml:space="preserve">Rp. 100.675</t>
  </si>
  <si>
    <t xml:space="preserve">Rp. 100.475</t>
  </si>
  <si>
    <t xml:space="preserve">Rp. 100.275</t>
  </si>
  <si>
    <t xml:space="preserve">SMART150-S9</t>
  </si>
  <si>
    <t xml:space="preserve">Smartfren 150.000</t>
  </si>
  <si>
    <t xml:space="preserve">Rp. 151.300</t>
  </si>
  <si>
    <t xml:space="preserve">Rp. 150.975</t>
  </si>
  <si>
    <t xml:space="preserve">Rp. 150.775</t>
  </si>
  <si>
    <t xml:space="preserve">Rp. 150.575</t>
  </si>
  <si>
    <t xml:space="preserve">SMART1000-S9</t>
  </si>
  <si>
    <t xml:space="preserve">Smartfren 1.000.000</t>
  </si>
  <si>
    <t xml:space="preserve">Rp. 996.800</t>
  </si>
  <si>
    <t xml:space="preserve">Rp. 996.525</t>
  </si>
  <si>
    <t xml:space="preserve">Rp. 996.325</t>
  </si>
  <si>
    <t xml:space="preserve">Rp. 996.125</t>
  </si>
  <si>
    <t xml:space="preserve">Smartfren 15.000</t>
  </si>
  <si>
    <t xml:space="preserve">Smartfren 60.000</t>
  </si>
  <si>
    <t xml:space="preserve">Kategori</t>
  </si>
  <si>
    <t xml:space="preserve">Layanan</t>
  </si>
  <si>
    <t xml:space="preserve">Sheet Modal (Indoflaz)</t>
  </si>
  <si>
    <t xml:space="preserve">Qty Terdeteksi</t>
  </si>
  <si>
    <t xml:space="preserve">Modal Silver</t>
  </si>
  <si>
    <t xml:space="preserve">Modal Gold</t>
  </si>
  <si>
    <t xml:space="preserve">Modal Pro</t>
  </si>
  <si>
    <t xml:space="preserve">Sumber Kompetitor</t>
  </si>
  <si>
    <t xml:space="preserve">Harga Kompetitor 1</t>
  </si>
  <si>
    <t xml:space="preserve">Harga Kompetitor 2</t>
  </si>
  <si>
    <t xml:space="preserve">Harga Kompetitor 3</t>
  </si>
  <si>
    <t xml:space="preserve">Jumlah Sumber</t>
  </si>
  <si>
    <t xml:space="preserve">Status Kompetitor</t>
  </si>
  <si>
    <t xml:space="preserve">Kompetitor Termurah</t>
  </si>
  <si>
    <t xml:space="preserve">Kompetitor Rata-rata</t>
  </si>
  <si>
    <t xml:space="preserve">Selisih vs Modal Gold</t>
  </si>
  <si>
    <t xml:space="preserve">Margin thd Kompetitor Termurah</t>
  </si>
  <si>
    <t xml:space="preserve">Rekomendasi Harga Jual</t>
  </si>
  <si>
    <t xml:space="preserve">Margin Rekomendasi thd Modal Gold</t>
  </si>
  <si>
    <t xml:space="preserve">UNDAWN OURA STORE</t>
  </si>
  <si>
    <t xml:space="preserve">League of Legend Wild drift OUR</t>
  </si>
  <si>
    <t xml:space="preserve">AOV OURA STORE</t>
  </si>
  <si>
    <t xml:space="preserve">-</t>
  </si>
  <si>
    <t xml:space="preserve">Call Of Duty Mobile OURA STORE</t>
  </si>
  <si>
    <t xml:space="preserve">MLBB EMPESHOP</t>
  </si>
  <si>
    <t xml:space="preserve">MLBB EMPESHOP, MLBB OURA STORE</t>
  </si>
  <si>
    <t xml:space="preserve">MLBB OURA STORE</t>
  </si>
  <si>
    <t xml:space="preserve">FF OURA STORE</t>
  </si>
  <si>
    <t xml:space="preserve">FF EMPE SHOP, FF OURA STORE</t>
  </si>
  <si>
    <t xml:space="preserve">PUBG OURA STORE</t>
  </si>
  <si>
    <t xml:space="preserve">PUBG EMPESHOP, PUBG OURA STORE</t>
  </si>
  <si>
    <t xml:space="preserve">PUBG EMPESHOP</t>
  </si>
  <si>
    <t xml:space="preserve">VALO OURA STORE</t>
  </si>
  <si>
    <t xml:space="preserve">PointBlank OURA STORE</t>
  </si>
  <si>
    <t xml:space="preserve">Steam Wallet OURA STORE</t>
  </si>
  <si>
    <t xml:space="preserve">Vidio OURA STORE</t>
  </si>
  <si>
    <t xml:space="preserve">Pulsa Telkomsel OURA STORE</t>
  </si>
  <si>
    <t xml:space="preserve">Indosat OURA STORE</t>
  </si>
  <si>
    <t xml:space="preserve">Axis OURASTORE</t>
  </si>
  <si>
    <t xml:space="preserve">XL OURASTORE</t>
  </si>
  <si>
    <t xml:space="preserve">SMARTFREN OURASTORE</t>
  </si>
  <si>
    <t xml:space="preserve">CATATAN &amp; ASUMSI ANALISIS</t>
  </si>
  <si>
    <t xml:space="preserve">1. SUMBER DATA</t>
  </si>
  <si>
    <t xml:space="preserve">   - Data modal (harga beli) diambil langsung dari sheet *INDOFLAZ per kategori, kolom HARGA SILVER dan HARGA GOLD, hanya baris berstatus "Aktif".</t>
  </si>
  <si>
    <t xml:space="preserve">   - Data kompetitor diambil dari sheet OURA STORE dan EMPESHOP (harga jual retail kompetitor ke konsumen akhir).</t>
  </si>
  <si>
    <t xml:space="preserve">   - Semua sel di sheet "Analisis Detail" pada kolom Modal Silver/Gold/Pro dan Harga Kompetitor 1-3 adalah FORMULA yang menautkan langsung ke sel asal (bukan angka tetap), sehingga otomatis ter-update jika data sumber berubah.</t>
  </si>
  <si>
    <t xml:space="preserve">2. PENCOCOKAN PRODUK (MATCHING)</t>
  </si>
  <si>
    <t xml:space="preserve">   - Produk dicocokkan antar sheet berdasarkan kuantitas (qty) yang diekstrak dari nama layanan, contoh: "10 Diamonds (9+1 Bonus)" -&gt; qty=10, "IDR 12.000 STEAM" -&gt; qty=12.000.</t>
  </si>
  <si>
    <t xml:space="preserve">   - Pencocokan dilakukan hanya dalam kategori game/produk yang sama (mis. produk MLBB hanya dibandingkan dengan kompetitor MLBB).</t>
  </si>
  <si>
    <t xml:space="preserve">   - Kategori berikut TIDAK memiliki data kompetitor di file sumber sehingga direkomendasikan pakai markup langsung dari modal: HAGO, Harry Potter Magic Awakened (qty tidak match), Honkai Star Rail (qty tidak match), VALO VOUCHER (Riot Cash), Google Play US Region, iTunes, Spotify, Nintendo eShop, Xbox, Hotelmurah, Gontak WA/SMS Gateway, PLN, byU, TRI.</t>
  </si>
  <si>
    <t xml:space="preserve">   - Untuk kategori yang memiliki sheet kompetitor tetapi sebagian produk tidak ketemu pasangan qty-nya (mis. sebagian AOV, PUBG, Call of Duty Mobile, Axis, XL), status akan tertulis "Tidak Ada" per baris — bukan berarti kategori itu sama sekali tanpa kompetitor.</t>
  </si>
  <si>
    <t xml:space="preserve">3. LOGIKA REKOMENDASI HARGA JUAL</t>
  </si>
  <si>
    <t xml:space="preserve">   - Jika ADA data kompetitor: Rekomendasi = MAX( Modal Gold x 1,08 ; Kompetitor Termurah x 0,97 ), dibulatkan ke Rp100 terdekat.</t>
  </si>
  <si>
    <t xml:space="preserve">     Artinya: minimal margin 8% di atas modal Gold, TAPI tetap diusahakan sedikit di bawah harga kompetitor termurah (undercut 3%) supaya kompetitif — mana yang lebih tinggi dari dua opsi itu yang dipakai.</t>
  </si>
  <si>
    <t xml:space="preserve">   - Jika TIDAK ADA data kompetitor: Rekomendasi = Modal Gold x 1,12 (markup langsung 12%), dibulatkan ke Rp100 terdekat.</t>
  </si>
  <si>
    <t xml:space="preserve">   - Angka markup 8%/12% dan undercut 3% adalah ASUMSI awal yang bisa diubah — ganti langsung angka 1,08 / 0,97 / 1,12 di kolom formula (kolom S) sheet Analisis Detail sesuai kebijakan margin yang diinginkan.</t>
  </si>
  <si>
    <t xml:space="preserve">4. KETERBATASAN</t>
  </si>
  <si>
    <t xml:space="preserve">   - Beberapa sheet kompetitor memiliki baris "diskon %" (mis. "10% OFF") yang diabaikan dalam parsing — harga yang diambil adalah harga yang tertera di baris tersebut (diasumsikan sudah harga final setelah diskon, bukan harga sebelum diskon).</t>
  </si>
  <si>
    <t xml:space="preserve">   - Untuk sheet dengan pengelompokan region (mis. League of Legend Wild Drift, Valorant), hanya baris kompetitor yang qty-nya cocok yang dipakai; label region tidak difilter secara khusus.</t>
  </si>
  <si>
    <t xml:space="preserve">   - Kolom "Sumber Kompetitor" menampilkan nama sheet kompetitor yang match untuk transparansi; jika ada lebih dari 3 sumber yang match pada qty yang sama, hanya 3 pertama yang dipakai dalam perhitungan Termurah/Rata-rata.</t>
  </si>
  <si>
    <t xml:space="preserve">Silakan cek ulang sheet "Analisis Detail" dan sesuaikan asumsi markup di atas bila diperlukan.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</si>
</sst>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"/>
    <numFmt numFmtId="168" formatCode="0.0%;\(0.0%\);\-"/>
    <numFmt numFmtId="169" formatCode="&quot;Rp&quot;#,##0"/>
    <numFmt numFmtId="170" formatCode="#,##0;\(#,##0\);\-"/>
  </numFmts>
  <fonts count="2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Gilroy"/>
      <family val="0"/>
      <charset val="1"/>
    </font>
    <font>
      <sz val="11"/>
      <color rgb="FFFFFFFF"/>
      <name val="Gilroy"/>
      <family val="0"/>
      <charset val="1"/>
    </font>
    <font>
      <sz val="11"/>
      <color rgb="FFFAFAF9"/>
      <name val="Arial"/>
      <family val="0"/>
      <charset val="1"/>
    </font>
    <font>
      <sz val="12"/>
      <color rgb="FFA58C6F"/>
      <name val="Arial"/>
      <family val="0"/>
      <charset val="1"/>
    </font>
    <font>
      <sz val="12"/>
      <color rgb="FFFAFAF9"/>
      <name val="Arial"/>
      <family val="0"/>
      <charset val="1"/>
    </font>
    <font>
      <b val="true"/>
      <sz val="11"/>
      <color rgb="FF000000"/>
      <name val="Gilroy"/>
      <family val="0"/>
      <charset val="1"/>
    </font>
    <font>
      <sz val="11"/>
      <color rgb="FF000000"/>
      <name val="Gilroy"/>
      <family val="0"/>
      <charset val="1"/>
    </font>
    <font>
      <sz val="11"/>
      <color theme="1"/>
      <name val="Gilroy"/>
      <family val="0"/>
      <charset val="1"/>
    </font>
    <font>
      <sz val="11"/>
      <color rgb="FF000000"/>
      <name val="Inherit"/>
      <family val="0"/>
      <charset val="1"/>
    </font>
    <font>
      <sz val="11"/>
      <color rgb="FF000000"/>
      <name val="&quot;Open Sans&quot;"/>
      <family val="0"/>
      <charset val="1"/>
    </font>
    <font>
      <sz val="8"/>
      <color rgb="FFE6E6E6"/>
      <name val="__Plus_Jakarta_Sans_646807"/>
      <family val="0"/>
      <charset val="1"/>
    </font>
    <font>
      <sz val="8"/>
      <color theme="1"/>
      <name val="__Plus_Jakarta_Sans_646807"/>
      <family val="0"/>
      <charset val="1"/>
    </font>
    <font>
      <sz val="8"/>
      <color rgb="FFFFFFFF"/>
      <name val="__Plus_Jakarta_Sans_646807"/>
      <family val="0"/>
      <charset val="1"/>
    </font>
    <font>
      <b val="true"/>
      <sz val="11"/>
      <color theme="1"/>
      <name val="Gilroy"/>
      <family val="0"/>
      <charset val="1"/>
    </font>
    <font>
      <sz val="11"/>
      <color rgb="FF1F2323"/>
      <name val="&quot;Open Sans&quot;"/>
      <family val="0"/>
      <charset val="1"/>
    </font>
    <font>
      <sz val="11"/>
      <color theme="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1D1928"/>
        <bgColor rgb="FF1F2323"/>
      </patternFill>
    </fill>
    <fill>
      <patternFill patternType="solid">
        <fgColor rgb="FFFFFFFF"/>
        <bgColor rgb="FFFAFAF9"/>
      </patternFill>
    </fill>
    <fill>
      <patternFill patternType="solid">
        <fgColor rgb="FF0ABE5D"/>
        <bgColor rgb="FF33CCCC"/>
      </patternFill>
    </fill>
    <fill>
      <patternFill patternType="solid">
        <fgColor rgb="FF5F666D"/>
        <bgColor rgb="FF666666"/>
      </patternFill>
    </fill>
    <fill>
      <patternFill patternType="solid">
        <fgColor rgb="FF383C3D"/>
        <bgColor rgb="FF1F2323"/>
      </patternFill>
    </fill>
    <fill>
      <patternFill patternType="solid">
        <fgColor rgb="FFDC2626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AFAF9"/>
      <rgbColor rgb="FFE6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66D"/>
      <rgbColor rgb="FFA58C6F"/>
      <rgbColor rgb="FF003366"/>
      <rgbColor rgb="FF0ABE5D"/>
      <rgbColor rgb="FF1D1928"/>
      <rgbColor rgb="FF1F2323"/>
      <rgbColor rgb="FF993300"/>
      <rgbColor rgb="FF993366"/>
      <rgbColor rgb="FF1F4E78"/>
      <rgbColor rgb="FF383C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20"/>
  </cols>
  <sheetData>
    <row r="2" customFormat="false" ht="17.3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E5" s="4" t="n">
        <f aca="false">COUNTA('Analisis Detail'!B2:B351)</f>
        <v>350</v>
      </c>
    </row>
    <row r="6" customFormat="false" ht="15" hidden="false" customHeight="false" outlineLevel="0" collapsed="false">
      <c r="B6" s="3" t="s">
        <v>3</v>
      </c>
      <c r="E6" s="4" t="n">
        <f aca="false">COUNTIF('Analisis Detail'!N2:N351,"Ada")</f>
        <v>189</v>
      </c>
    </row>
    <row r="7" customFormat="false" ht="15" hidden="false" customHeight="false" outlineLevel="0" collapsed="false">
      <c r="B7" s="3" t="s">
        <v>4</v>
      </c>
      <c r="E7" s="4" t="n">
        <f aca="false">COUNTIF('Analisis Detail'!N2:N351,"Tidak Ada")</f>
        <v>161</v>
      </c>
    </row>
    <row r="8" customFormat="false" ht="15" hidden="false" customHeight="false" outlineLevel="0" collapsed="false">
      <c r="B8" s="3" t="s">
        <v>5</v>
      </c>
      <c r="E8" s="5" t="n">
        <f aca="false">AVERAGEIF('Analisis Detail'!N2:N351,"Ada",'Analisis Detail'!R2:R351)</f>
        <v>0.0215275946791987</v>
      </c>
    </row>
    <row r="9" customFormat="false" ht="15" hidden="false" customHeight="false" outlineLevel="0" collapsed="false">
      <c r="B9" s="3" t="s">
        <v>6</v>
      </c>
      <c r="E9" s="5" t="n">
        <f aca="false">AVERAGE('Analisis Detail'!T2:T351)</f>
        <v>0.0932992949626688</v>
      </c>
    </row>
    <row r="12" customFormat="false" ht="15" hidden="false" customHeight="false" outlineLevel="0" collapsed="false">
      <c r="B12" s="6" t="s">
        <v>7</v>
      </c>
    </row>
    <row r="13" customFormat="false" ht="30" hidden="false" customHeight="true" outlineLevel="0" collapsed="false">
      <c r="B13" s="7" t="s">
        <v>8</v>
      </c>
      <c r="C13" s="7" t="s">
        <v>9</v>
      </c>
      <c r="D13" s="7" t="s">
        <v>10</v>
      </c>
      <c r="E13" s="7" t="s">
        <v>11</v>
      </c>
      <c r="F13" s="7" t="s">
        <v>12</v>
      </c>
      <c r="G13" s="7" t="s">
        <v>13</v>
      </c>
    </row>
    <row r="14" customFormat="false" ht="15" hidden="false" customHeight="false" outlineLevel="0" collapsed="false">
      <c r="B14" s="8" t="s">
        <v>14</v>
      </c>
      <c r="C14" s="9" t="n">
        <f aca="false">COUNTIF('Analisis Detail'!D2:D351,B14)</f>
        <v>10</v>
      </c>
      <c r="D14" s="9" t="n">
        <f aca="false">COUNTIFS('Analisis Detail'!D2:D351,B14,'Analisis Detail'!N2:N351,"Ada")</f>
        <v>10</v>
      </c>
      <c r="E14" s="9" t="n">
        <f aca="false">COUNTIFS('Analisis Detail'!D2:D351,B14,'Analisis Detail'!N2:N351,"Tidak Ada")</f>
        <v>0</v>
      </c>
      <c r="F14" s="10" t="n">
        <f aca="false">IFERROR(AVERAGEIFS('Analisis Detail'!R2:R351,'Analisis Detail'!D2:D351,B14,'Analisis Detail'!N2:N351,"Ada"),"-")</f>
        <v>0.0892080840730586</v>
      </c>
      <c r="G14" s="10" t="n">
        <f aca="false">AVERAGEIFS('Analisis Detail'!T2:T351,'Analisis Detail'!D2:D351,B14)</f>
        <v>0.0742368441580688</v>
      </c>
    </row>
    <row r="15" customFormat="false" ht="15" hidden="false" customHeight="false" outlineLevel="0" collapsed="false">
      <c r="B15" s="8" t="s">
        <v>15</v>
      </c>
      <c r="C15" s="9" t="n">
        <f aca="false">COUNTIF('Analisis Detail'!D2:D351,B15)</f>
        <v>6</v>
      </c>
      <c r="D15" s="9" t="n">
        <f aca="false">COUNTIFS('Analisis Detail'!D2:D351,B15,'Analisis Detail'!N2:N351,"Ada")</f>
        <v>6</v>
      </c>
      <c r="E15" s="9" t="n">
        <f aca="false">COUNTIFS('Analisis Detail'!D2:D351,B15,'Analisis Detail'!N2:N351,"Tidak Ada")</f>
        <v>0</v>
      </c>
      <c r="F15" s="10" t="n">
        <f aca="false">IFERROR(AVERAGEIFS('Analisis Detail'!R2:R351,'Analisis Detail'!D2:D351,B15,'Analisis Detail'!N2:N351,"Ada"),"-")</f>
        <v>0.0295414993530473</v>
      </c>
      <c r="G15" s="10" t="n">
        <f aca="false">AVERAGEIFS('Analisis Detail'!T2:T351,'Analisis Detail'!D2:D351,B15)</f>
        <v>0.074124468282479</v>
      </c>
    </row>
    <row r="16" customFormat="false" ht="15" hidden="false" customHeight="false" outlineLevel="0" collapsed="false">
      <c r="B16" s="8" t="s">
        <v>16</v>
      </c>
      <c r="C16" s="9" t="n">
        <f aca="false">COUNTIF('Analisis Detail'!D2:D351,B16)</f>
        <v>18</v>
      </c>
      <c r="D16" s="9" t="n">
        <f aca="false">COUNTIFS('Analisis Detail'!D2:D351,B16,'Analisis Detail'!N2:N351,"Ada")</f>
        <v>7</v>
      </c>
      <c r="E16" s="9" t="n">
        <f aca="false">COUNTIFS('Analisis Detail'!D2:D351,B16,'Analisis Detail'!N2:N351,"Tidak Ada")</f>
        <v>11</v>
      </c>
      <c r="F16" s="10" t="n">
        <f aca="false">IFERROR(AVERAGEIFS('Analisis Detail'!R2:R351,'Analisis Detail'!D2:D351,B16,'Analisis Detail'!N2:N351,"Ada"),"-")</f>
        <v>0.0420059583062346</v>
      </c>
      <c r="G16" s="10" t="n">
        <f aca="false">AVERAGEIFS('Analisis Detail'!T2:T351,'Analisis Detail'!D2:D351,B16)</f>
        <v>0.0940553964431498</v>
      </c>
    </row>
    <row r="17" customFormat="false" ht="15" hidden="false" customHeight="false" outlineLevel="0" collapsed="false">
      <c r="B17" s="8" t="s">
        <v>17</v>
      </c>
      <c r="C17" s="9" t="n">
        <f aca="false">COUNTIF('Analisis Detail'!D2:D351,B17)</f>
        <v>1</v>
      </c>
      <c r="D17" s="9" t="n">
        <f aca="false">COUNTIFS('Analisis Detail'!D2:D351,B17,'Analisis Detail'!N2:N351,"Ada")</f>
        <v>0</v>
      </c>
      <c r="E17" s="9" t="n">
        <f aca="false">COUNTIFS('Analisis Detail'!D2:D351,B17,'Analisis Detail'!N2:N351,"Tidak Ada")</f>
        <v>1</v>
      </c>
      <c r="F17" s="10" t="str">
        <f aca="false">IFERROR(AVERAGEIFS('Analisis Detail'!R2:R351,'Analisis Detail'!D2:D351,B17,'Analisis Detail'!N2:N351,"Ada"),"-")</f>
        <v>-</v>
      </c>
      <c r="G17" s="10" t="n">
        <f aca="false">AVERAGEIFS('Analisis Detail'!T2:T351,'Analisis Detail'!D2:D351,B17)</f>
        <v>0.107033835514942</v>
      </c>
    </row>
    <row r="18" customFormat="false" ht="15" hidden="false" customHeight="false" outlineLevel="0" collapsed="false">
      <c r="B18" s="8" t="s">
        <v>18</v>
      </c>
      <c r="C18" s="9" t="n">
        <f aca="false">COUNTIF('Analisis Detail'!D2:D351,B18)</f>
        <v>8</v>
      </c>
      <c r="D18" s="9" t="n">
        <f aca="false">COUNTIFS('Analisis Detail'!D2:D351,B18,'Analisis Detail'!N2:N351,"Ada")</f>
        <v>0</v>
      </c>
      <c r="E18" s="9" t="n">
        <f aca="false">COUNTIFS('Analisis Detail'!D2:D351,B18,'Analisis Detail'!N2:N351,"Tidak Ada")</f>
        <v>8</v>
      </c>
      <c r="F18" s="10" t="str">
        <f aca="false">IFERROR(AVERAGEIFS('Analisis Detail'!R2:R351,'Analisis Detail'!D2:D351,B18,'Analisis Detail'!N2:N351,"Ada"),"-")</f>
        <v>-</v>
      </c>
      <c r="G18" s="10" t="n">
        <f aca="false">AVERAGEIFS('Analisis Detail'!T2:T351,'Analisis Detail'!D2:D351,B18)</f>
        <v>0.105918738978934</v>
      </c>
    </row>
    <row r="19" customFormat="false" ht="15" hidden="false" customHeight="false" outlineLevel="0" collapsed="false">
      <c r="B19" s="8" t="s">
        <v>19</v>
      </c>
      <c r="C19" s="9" t="n">
        <f aca="false">COUNTIF('Analisis Detail'!D2:D351,B19)</f>
        <v>7</v>
      </c>
      <c r="D19" s="9" t="n">
        <f aca="false">COUNTIFS('Analisis Detail'!D2:D351,B19,'Analisis Detail'!N2:N351,"Ada")</f>
        <v>3</v>
      </c>
      <c r="E19" s="9" t="n">
        <f aca="false">COUNTIFS('Analisis Detail'!D2:D351,B19,'Analisis Detail'!N2:N351,"Tidak Ada")</f>
        <v>4</v>
      </c>
      <c r="F19" s="10" t="n">
        <f aca="false">IFERROR(AVERAGEIFS('Analisis Detail'!R2:R351,'Analisis Detail'!D2:D351,B19,'Analisis Detail'!N2:N351,"Ada"),"-")</f>
        <v>0.0795178995126953</v>
      </c>
      <c r="G19" s="10" t="n">
        <f aca="false">AVERAGEIFS('Analisis Detail'!T2:T351,'Analisis Detail'!D2:D351,B19)</f>
        <v>0.0945854075906271</v>
      </c>
    </row>
    <row r="20" customFormat="false" ht="15" hidden="false" customHeight="false" outlineLevel="0" collapsed="false">
      <c r="B20" s="8" t="s">
        <v>20</v>
      </c>
      <c r="C20" s="9" t="n">
        <f aca="false">COUNTIF('Analisis Detail'!D2:D351,B20)</f>
        <v>1</v>
      </c>
      <c r="D20" s="9" t="n">
        <f aca="false">COUNTIFS('Analisis Detail'!D2:D351,B20,'Analisis Detail'!N2:N351,"Ada")</f>
        <v>0</v>
      </c>
      <c r="E20" s="9" t="n">
        <f aca="false">COUNTIFS('Analisis Detail'!D2:D351,B20,'Analisis Detail'!N2:N351,"Tidak Ada")</f>
        <v>1</v>
      </c>
      <c r="F20" s="10" t="str">
        <f aca="false">IFERROR(AVERAGEIFS('Analisis Detail'!R2:R351,'Analisis Detail'!D2:D351,B20,'Analisis Detail'!N2:N351,"Ada"),"-")</f>
        <v>-</v>
      </c>
      <c r="G20" s="10" t="n">
        <f aca="false">AVERAGEIFS('Analisis Detail'!T2:T351,'Analisis Detail'!D2:D351,B20)</f>
        <v>0.107140054190414</v>
      </c>
    </row>
    <row r="21" customFormat="false" ht="15" hidden="false" customHeight="false" outlineLevel="0" collapsed="false">
      <c r="B21" s="8" t="s">
        <v>21</v>
      </c>
      <c r="C21" s="9" t="n">
        <f aca="false">COUNTIF('Analisis Detail'!D2:D351,B21)</f>
        <v>52</v>
      </c>
      <c r="D21" s="9" t="n">
        <f aca="false">COUNTIFS('Analisis Detail'!D2:D351,B21,'Analisis Detail'!N2:N351,"Ada")</f>
        <v>33</v>
      </c>
      <c r="E21" s="9" t="n">
        <f aca="false">COUNTIFS('Analisis Detail'!D2:D351,B21,'Analisis Detail'!N2:N351,"Tidak Ada")</f>
        <v>19</v>
      </c>
      <c r="F21" s="10" t="n">
        <f aca="false">IFERROR(AVERAGEIFS('Analisis Detail'!R2:R351,'Analisis Detail'!D2:D351,B21,'Analisis Detail'!N2:N351,"Ada"),"-")</f>
        <v>0.047957777497082</v>
      </c>
      <c r="G21" s="10" t="n">
        <f aca="false">AVERAGEIFS('Analisis Detail'!T2:T351,'Analisis Detail'!D2:D351,B21)</f>
        <v>0.0860045623542172</v>
      </c>
    </row>
    <row r="22" customFormat="false" ht="15" hidden="false" customHeight="false" outlineLevel="0" collapsed="false">
      <c r="B22" s="8" t="s">
        <v>22</v>
      </c>
      <c r="C22" s="9" t="n">
        <f aca="false">COUNTIF('Analisis Detail'!D2:D351,B22)</f>
        <v>25</v>
      </c>
      <c r="D22" s="9" t="n">
        <f aca="false">COUNTIFS('Analisis Detail'!D2:D351,B22,'Analisis Detail'!N2:N351,"Ada")</f>
        <v>19</v>
      </c>
      <c r="E22" s="9" t="n">
        <f aca="false">COUNTIFS('Analisis Detail'!D2:D351,B22,'Analisis Detail'!N2:N351,"Tidak Ada")</f>
        <v>6</v>
      </c>
      <c r="F22" s="10" t="n">
        <f aca="false">IFERROR(AVERAGEIFS('Analisis Detail'!R2:R351,'Analisis Detail'!D2:D351,B22,'Analisis Detail'!N2:N351,"Ada"),"-")</f>
        <v>0.11658937687551</v>
      </c>
      <c r="G22" s="10" t="n">
        <f aca="false">AVERAGEIFS('Analisis Detail'!T2:T351,'Analisis Detail'!D2:D351,B22)</f>
        <v>0.101371390101801</v>
      </c>
    </row>
    <row r="23" customFormat="false" ht="15" hidden="false" customHeight="false" outlineLevel="0" collapsed="false">
      <c r="B23" s="8" t="s">
        <v>23</v>
      </c>
      <c r="C23" s="9" t="n">
        <f aca="false">COUNTIF('Analisis Detail'!D2:D351,B23)</f>
        <v>9</v>
      </c>
      <c r="D23" s="9" t="n">
        <f aca="false">COUNTIFS('Analisis Detail'!D2:D351,B23,'Analisis Detail'!N2:N351,"Ada")</f>
        <v>2</v>
      </c>
      <c r="E23" s="9" t="n">
        <f aca="false">COUNTIFS('Analisis Detail'!D2:D351,B23,'Analisis Detail'!N2:N351,"Tidak Ada")</f>
        <v>7</v>
      </c>
      <c r="F23" s="10" t="n">
        <f aca="false">IFERROR(AVERAGEIFS('Analisis Detail'!R2:R351,'Analisis Detail'!D2:D351,B23,'Analisis Detail'!N2:N351,"Ada"),"-")</f>
        <v>0.0179234621925405</v>
      </c>
      <c r="G23" s="10" t="n">
        <f aca="false">AVERAGEIFS('Analisis Detail'!T2:T351,'Analisis Detail'!D2:D351,B23)</f>
        <v>0.0998924994112586</v>
      </c>
    </row>
    <row r="24" customFormat="false" ht="15" hidden="false" customHeight="false" outlineLevel="0" collapsed="false">
      <c r="B24" s="8" t="s">
        <v>24</v>
      </c>
      <c r="C24" s="9" t="n">
        <f aca="false">COUNTIF('Analisis Detail'!D2:D351,B24)</f>
        <v>6</v>
      </c>
      <c r="D24" s="9" t="n">
        <f aca="false">COUNTIFS('Analisis Detail'!D2:D351,B24,'Analisis Detail'!N2:N351,"Ada")</f>
        <v>6</v>
      </c>
      <c r="E24" s="9" t="n">
        <f aca="false">COUNTIFS('Analisis Detail'!D2:D351,B24,'Analisis Detail'!N2:N351,"Tidak Ada")</f>
        <v>0</v>
      </c>
      <c r="F24" s="10" t="n">
        <f aca="false">IFERROR(AVERAGEIFS('Analisis Detail'!R2:R351,'Analisis Detail'!D2:D351,B24,'Analisis Detail'!N2:N351,"Ada"),"-")</f>
        <v>0.0217958246468918</v>
      </c>
      <c r="G24" s="10" t="n">
        <f aca="false">AVERAGEIFS('Analisis Detail'!T2:T351,'Analisis Detail'!D2:D351,B24)</f>
        <v>0.0739639131036588</v>
      </c>
    </row>
    <row r="25" customFormat="false" ht="15" hidden="false" customHeight="false" outlineLevel="0" collapsed="false">
      <c r="B25" s="8" t="s">
        <v>25</v>
      </c>
      <c r="C25" s="9" t="n">
        <f aca="false">COUNTIF('Analisis Detail'!D2:D351,B25)</f>
        <v>14</v>
      </c>
      <c r="D25" s="9" t="n">
        <f aca="false">COUNTIFS('Analisis Detail'!D2:D351,B25,'Analisis Detail'!N2:N351,"Ada")</f>
        <v>14</v>
      </c>
      <c r="E25" s="9" t="n">
        <f aca="false">COUNTIFS('Analisis Detail'!D2:D351,B25,'Analisis Detail'!N2:N351,"Tidak Ada")</f>
        <v>0</v>
      </c>
      <c r="F25" s="10" t="n">
        <f aca="false">IFERROR(AVERAGEIFS('Analisis Detail'!R2:R351,'Analisis Detail'!D2:D351,B25,'Analisis Detail'!N2:N351,"Ada"),"-")</f>
        <v>0.0115002675227394</v>
      </c>
      <c r="G25" s="10" t="n">
        <f aca="false">AVERAGEIFS('Analisis Detail'!T2:T351,'Analisis Detail'!D2:D351,B25)</f>
        <v>0.0739708746932789</v>
      </c>
    </row>
    <row r="26" customFormat="false" ht="15" hidden="false" customHeight="false" outlineLevel="0" collapsed="false">
      <c r="B26" s="8" t="s">
        <v>26</v>
      </c>
      <c r="C26" s="9" t="n">
        <f aca="false">COUNTIF('Analisis Detail'!D2:D351,B26)</f>
        <v>6</v>
      </c>
      <c r="D26" s="9" t="n">
        <f aca="false">COUNTIFS('Analisis Detail'!D2:D351,B26,'Analisis Detail'!N2:N351,"Ada")</f>
        <v>0</v>
      </c>
      <c r="E26" s="9" t="n">
        <f aca="false">COUNTIFS('Analisis Detail'!D2:D351,B26,'Analisis Detail'!N2:N351,"Tidak Ada")</f>
        <v>6</v>
      </c>
      <c r="F26" s="10" t="str">
        <f aca="false">IFERROR(AVERAGEIFS('Analisis Detail'!R2:R351,'Analisis Detail'!D2:D351,B26,'Analisis Detail'!N2:N351,"Ada"),"-")</f>
        <v>-</v>
      </c>
      <c r="G26" s="10" t="n">
        <f aca="false">AVERAGEIFS('Analisis Detail'!T2:T351,'Analisis Detail'!D2:D351,B26)</f>
        <v>0.106946312940947</v>
      </c>
    </row>
    <row r="27" customFormat="false" ht="15" hidden="false" customHeight="false" outlineLevel="0" collapsed="false">
      <c r="B27" s="8" t="s">
        <v>27</v>
      </c>
      <c r="C27" s="9" t="n">
        <f aca="false">COUNTIF('Analisis Detail'!D2:D351,B27)</f>
        <v>1</v>
      </c>
      <c r="D27" s="9" t="n">
        <f aca="false">COUNTIFS('Analisis Detail'!D2:D351,B27,'Analisis Detail'!N2:N351,"Ada")</f>
        <v>0</v>
      </c>
      <c r="E27" s="9" t="n">
        <f aca="false">COUNTIFS('Analisis Detail'!D2:D351,B27,'Analisis Detail'!N2:N351,"Tidak Ada")</f>
        <v>1</v>
      </c>
      <c r="F27" s="10" t="str">
        <f aca="false">IFERROR(AVERAGEIFS('Analisis Detail'!R2:R351,'Analisis Detail'!D2:D351,B27,'Analisis Detail'!N2:N351,"Ada"),"-")</f>
        <v>-</v>
      </c>
      <c r="G27" s="10" t="n">
        <f aca="false">AVERAGEIFS('Analisis Detail'!T2:T351,'Analisis Detail'!D2:D351,B27)</f>
        <v>0.107052441229656</v>
      </c>
    </row>
    <row r="28" customFormat="false" ht="15" hidden="false" customHeight="false" outlineLevel="0" collapsed="false">
      <c r="B28" s="8" t="s">
        <v>28</v>
      </c>
      <c r="C28" s="9" t="n">
        <f aca="false">COUNTIF('Analisis Detail'!D2:D351,B28)</f>
        <v>4</v>
      </c>
      <c r="D28" s="9" t="n">
        <f aca="false">COUNTIFS('Analisis Detail'!D2:D351,B28,'Analisis Detail'!N2:N351,"Ada")</f>
        <v>0</v>
      </c>
      <c r="E28" s="9" t="n">
        <f aca="false">COUNTIFS('Analisis Detail'!D2:D351,B28,'Analisis Detail'!N2:N351,"Tidak Ada")</f>
        <v>4</v>
      </c>
      <c r="F28" s="10" t="str">
        <f aca="false">IFERROR(AVERAGEIFS('Analisis Detail'!R2:R351,'Analisis Detail'!D2:D351,B28,'Analisis Detail'!N2:N351,"Ada"),"-")</f>
        <v>-</v>
      </c>
      <c r="G28" s="10" t="n">
        <f aca="false">AVERAGEIFS('Analisis Detail'!T2:T351,'Analisis Detail'!D2:D351,B28)</f>
        <v>0.107140667934333</v>
      </c>
    </row>
    <row r="29" customFormat="false" ht="15" hidden="false" customHeight="false" outlineLevel="0" collapsed="false">
      <c r="B29" s="8" t="s">
        <v>29</v>
      </c>
      <c r="C29" s="9" t="n">
        <f aca="false">COUNTIF('Analisis Detail'!D2:D351,B29)</f>
        <v>7</v>
      </c>
      <c r="D29" s="9" t="n">
        <f aca="false">COUNTIFS('Analisis Detail'!D2:D351,B29,'Analisis Detail'!N2:N351,"Ada")</f>
        <v>0</v>
      </c>
      <c r="E29" s="9" t="n">
        <f aca="false">COUNTIFS('Analisis Detail'!D2:D351,B29,'Analisis Detail'!N2:N351,"Tidak Ada")</f>
        <v>7</v>
      </c>
      <c r="F29" s="10" t="str">
        <f aca="false">IFERROR(AVERAGEIFS('Analisis Detail'!R2:R351,'Analisis Detail'!D2:D351,B29,'Analisis Detail'!N2:N351,"Ada"),"-")</f>
        <v>-</v>
      </c>
      <c r="G29" s="10" t="n">
        <f aca="false">AVERAGEIFS('Analisis Detail'!T2:T351,'Analisis Detail'!D2:D351,B29)</f>
        <v>0.112115583474823</v>
      </c>
    </row>
    <row r="30" customFormat="false" ht="15" hidden="false" customHeight="false" outlineLevel="0" collapsed="false">
      <c r="B30" s="8" t="s">
        <v>30</v>
      </c>
      <c r="C30" s="9" t="n">
        <f aca="false">COUNTIF('Analisis Detail'!D2:D351,B30)</f>
        <v>8</v>
      </c>
      <c r="D30" s="9" t="n">
        <f aca="false">COUNTIFS('Analisis Detail'!D2:D351,B30,'Analisis Detail'!N2:N351,"Ada")</f>
        <v>7</v>
      </c>
      <c r="E30" s="9" t="n">
        <f aca="false">COUNTIFS('Analisis Detail'!D2:D351,B30,'Analisis Detail'!N2:N351,"Tidak Ada")</f>
        <v>1</v>
      </c>
      <c r="F30" s="10" t="n">
        <f aca="false">IFERROR(AVERAGEIFS('Analisis Detail'!R2:R351,'Analisis Detail'!D2:D351,B30,'Analisis Detail'!N2:N351,"Ada"),"-")</f>
        <v>0.132014003456533</v>
      </c>
      <c r="G30" s="10" t="n">
        <f aca="false">AVERAGEIFS('Analisis Detail'!T2:T351,'Analisis Detail'!D2:D351,B30)</f>
        <v>0.106712656186316</v>
      </c>
    </row>
    <row r="31" customFormat="false" ht="15" hidden="false" customHeight="false" outlineLevel="0" collapsed="false">
      <c r="B31" s="8" t="s">
        <v>31</v>
      </c>
      <c r="C31" s="9" t="n">
        <f aca="false">COUNTIF('Analisis Detail'!D2:D351,B31)</f>
        <v>3</v>
      </c>
      <c r="D31" s="9" t="n">
        <f aca="false">COUNTIFS('Analisis Detail'!D2:D351,B31,'Analisis Detail'!N2:N351,"Ada")</f>
        <v>0</v>
      </c>
      <c r="E31" s="9" t="n">
        <f aca="false">COUNTIFS('Analisis Detail'!D2:D351,B31,'Analisis Detail'!N2:N351,"Tidak Ada")</f>
        <v>3</v>
      </c>
      <c r="F31" s="10" t="str">
        <f aca="false">IFERROR(AVERAGEIFS('Analisis Detail'!R2:R351,'Analisis Detail'!D2:D351,B31,'Analisis Detail'!N2:N351,"Ada"),"-")</f>
        <v>-</v>
      </c>
      <c r="G31" s="10" t="n">
        <f aca="false">AVERAGEIFS('Analisis Detail'!T2:T351,'Analisis Detail'!D2:D351,B31)</f>
        <v>0.10697008866322</v>
      </c>
    </row>
    <row r="32" customFormat="false" ht="15" hidden="false" customHeight="false" outlineLevel="0" collapsed="false">
      <c r="B32" s="8" t="s">
        <v>32</v>
      </c>
      <c r="C32" s="9" t="n">
        <f aca="false">COUNTIF('Analisis Detail'!D2:D351,B32)</f>
        <v>2</v>
      </c>
      <c r="D32" s="9" t="n">
        <f aca="false">COUNTIFS('Analisis Detail'!D2:D351,B32,'Analisis Detail'!N2:N351,"Ada")</f>
        <v>0</v>
      </c>
      <c r="E32" s="9" t="n">
        <f aca="false">COUNTIFS('Analisis Detail'!D2:D351,B32,'Analisis Detail'!N2:N351,"Tidak Ada")</f>
        <v>2</v>
      </c>
      <c r="F32" s="10" t="str">
        <f aca="false">IFERROR(AVERAGEIFS('Analisis Detail'!R2:R351,'Analisis Detail'!D2:D351,B32,'Analisis Detail'!N2:N351,"Ada"),"-")</f>
        <v>-</v>
      </c>
      <c r="G32" s="10" t="n">
        <f aca="false">AVERAGEIFS('Analisis Detail'!T2:T351,'Analisis Detail'!D2:D351,B32)</f>
        <v>0.107059163853927</v>
      </c>
    </row>
    <row r="33" customFormat="false" ht="15" hidden="false" customHeight="false" outlineLevel="0" collapsed="false">
      <c r="B33" s="8" t="s">
        <v>33</v>
      </c>
      <c r="C33" s="9" t="n">
        <f aca="false">COUNTIF('Analisis Detail'!D2:D351,B33)</f>
        <v>13</v>
      </c>
      <c r="D33" s="9" t="n">
        <f aca="false">COUNTIFS('Analisis Detail'!D2:D351,B33,'Analisis Detail'!N2:N351,"Ada")</f>
        <v>12</v>
      </c>
      <c r="E33" s="9" t="n">
        <f aca="false">COUNTIFS('Analisis Detail'!D2:D351,B33,'Analisis Detail'!N2:N351,"Tidak Ada")</f>
        <v>1</v>
      </c>
      <c r="F33" s="10" t="n">
        <f aca="false">IFERROR(AVERAGEIFS('Analisis Detail'!R2:R351,'Analisis Detail'!D2:D351,B33,'Analisis Detail'!N2:N351,"Ada"),"-")</f>
        <v>-0.487660419795178</v>
      </c>
      <c r="G33" s="10" t="n">
        <f aca="false">AVERAGEIFS('Analisis Detail'!T2:T351,'Analisis Detail'!D2:D351,B33)</f>
        <v>0.106446106649952</v>
      </c>
    </row>
    <row r="34" customFormat="false" ht="15" hidden="false" customHeight="false" outlineLevel="0" collapsed="false">
      <c r="B34" s="8" t="s">
        <v>34</v>
      </c>
      <c r="C34" s="9" t="n">
        <f aca="false">COUNTIF('Analisis Detail'!D2:D351,B34)</f>
        <v>6</v>
      </c>
      <c r="D34" s="9" t="n">
        <f aca="false">COUNTIFS('Analisis Detail'!D2:D351,B34,'Analisis Detail'!N2:N351,"Ada")</f>
        <v>0</v>
      </c>
      <c r="E34" s="9" t="n">
        <f aca="false">COUNTIFS('Analisis Detail'!D2:D351,B34,'Analisis Detail'!N2:N351,"Tidak Ada")</f>
        <v>6</v>
      </c>
      <c r="F34" s="10" t="str">
        <f aca="false">IFERROR(AVERAGEIFS('Analisis Detail'!R2:R351,'Analisis Detail'!D2:D351,B34,'Analisis Detail'!N2:N351,"Ada"),"-")</f>
        <v>-</v>
      </c>
      <c r="G34" s="10" t="n">
        <f aca="false">AVERAGEIFS('Analisis Detail'!T2:T351,'Analisis Detail'!D2:D351,B34)</f>
        <v>0.107143852206655</v>
      </c>
    </row>
    <row r="35" customFormat="false" ht="15" hidden="false" customHeight="false" outlineLevel="0" collapsed="false">
      <c r="B35" s="8" t="s">
        <v>35</v>
      </c>
      <c r="C35" s="9" t="n">
        <f aca="false">COUNTIF('Analisis Detail'!D2:D351,B35)</f>
        <v>5</v>
      </c>
      <c r="D35" s="9" t="n">
        <f aca="false">COUNTIFS('Analisis Detail'!D2:D351,B35,'Analisis Detail'!N2:N351,"Ada")</f>
        <v>0</v>
      </c>
      <c r="E35" s="9" t="n">
        <f aca="false">COUNTIFS('Analisis Detail'!D2:D351,B35,'Analisis Detail'!N2:N351,"Tidak Ada")</f>
        <v>5</v>
      </c>
      <c r="F35" s="10" t="str">
        <f aca="false">IFERROR(AVERAGEIFS('Analisis Detail'!R2:R351,'Analisis Detail'!D2:D351,B35,'Analisis Detail'!N2:N351,"Ada"),"-")</f>
        <v>-</v>
      </c>
      <c r="G35" s="10" t="n">
        <f aca="false">AVERAGEIFS('Analisis Detail'!T2:T351,'Analisis Detail'!D2:D351,B35)</f>
        <v>0.106903084137456</v>
      </c>
    </row>
    <row r="36" customFormat="false" ht="15" hidden="false" customHeight="false" outlineLevel="0" collapsed="false">
      <c r="B36" s="8" t="s">
        <v>36</v>
      </c>
      <c r="C36" s="9" t="n">
        <f aca="false">COUNTIF('Analisis Detail'!D2:D351,B36)</f>
        <v>3</v>
      </c>
      <c r="D36" s="9" t="n">
        <f aca="false">COUNTIFS('Analisis Detail'!D2:D351,B36,'Analisis Detail'!N2:N351,"Ada")</f>
        <v>0</v>
      </c>
      <c r="E36" s="9" t="n">
        <f aca="false">COUNTIFS('Analisis Detail'!D2:D351,B36,'Analisis Detail'!N2:N351,"Tidak Ada")</f>
        <v>3</v>
      </c>
      <c r="F36" s="10" t="str">
        <f aca="false">IFERROR(AVERAGEIFS('Analisis Detail'!R2:R351,'Analisis Detail'!D2:D351,B36,'Analisis Detail'!N2:N351,"Ada"),"-")</f>
        <v>-</v>
      </c>
      <c r="G36" s="10" t="n">
        <f aca="false">AVERAGEIFS('Analisis Detail'!T2:T351,'Analisis Detail'!D2:D351,B36)</f>
        <v>0.107142857142857</v>
      </c>
    </row>
    <row r="37" customFormat="false" ht="15" hidden="false" customHeight="false" outlineLevel="0" collapsed="false">
      <c r="B37" s="8" t="s">
        <v>37</v>
      </c>
      <c r="C37" s="9" t="n">
        <f aca="false">COUNTIF('Analisis Detail'!D2:D351,B37)</f>
        <v>6</v>
      </c>
      <c r="D37" s="9" t="n">
        <f aca="false">COUNTIFS('Analisis Detail'!D2:D351,B37,'Analisis Detail'!N2:N351,"Ada")</f>
        <v>0</v>
      </c>
      <c r="E37" s="9" t="n">
        <f aca="false">COUNTIFS('Analisis Detail'!D2:D351,B37,'Analisis Detail'!N2:N351,"Tidak Ada")</f>
        <v>6</v>
      </c>
      <c r="F37" s="10" t="str">
        <f aca="false">IFERROR(AVERAGEIFS('Analisis Detail'!R2:R351,'Analisis Detail'!D2:D351,B37,'Analisis Detail'!N2:N351,"Ada"),"-")</f>
        <v>-</v>
      </c>
      <c r="G37" s="10" t="n">
        <f aca="false">AVERAGEIFS('Analisis Detail'!T2:T351,'Analisis Detail'!D2:D351,B37)</f>
        <v>0.107140195900264</v>
      </c>
    </row>
    <row r="38" customFormat="false" ht="15" hidden="false" customHeight="false" outlineLevel="0" collapsed="false">
      <c r="B38" s="8" t="s">
        <v>38</v>
      </c>
      <c r="C38" s="9" t="n">
        <f aca="false">COUNTIF('Analisis Detail'!D2:D351,B38)</f>
        <v>35</v>
      </c>
      <c r="D38" s="9" t="n">
        <f aca="false">COUNTIFS('Analisis Detail'!D2:D351,B38,'Analisis Detail'!N2:N351,"Ada")</f>
        <v>31</v>
      </c>
      <c r="E38" s="9" t="n">
        <f aca="false">COUNTIFS('Analisis Detail'!D2:D351,B38,'Analisis Detail'!N2:N351,"Tidak Ada")</f>
        <v>4</v>
      </c>
      <c r="F38" s="10" t="n">
        <f aca="false">IFERROR(AVERAGEIFS('Analisis Detail'!R2:R351,'Analisis Detail'!D2:D351,B38,'Analisis Detail'!N2:N351,"Ada"),"-")</f>
        <v>0.0367987542105586</v>
      </c>
      <c r="G38" s="10" t="n">
        <f aca="false">AVERAGEIFS('Analisis Detail'!T2:T351,'Analisis Detail'!D2:D351,B38)</f>
        <v>0.0807225861278197</v>
      </c>
    </row>
    <row r="39" customFormat="false" ht="15" hidden="false" customHeight="false" outlineLevel="0" collapsed="false">
      <c r="B39" s="8" t="s">
        <v>39</v>
      </c>
      <c r="C39" s="9" t="n">
        <f aca="false">COUNTIF('Analisis Detail'!D2:D351,B39)</f>
        <v>20</v>
      </c>
      <c r="D39" s="9" t="n">
        <f aca="false">COUNTIFS('Analisis Detail'!D2:D351,B39,'Analisis Detail'!N2:N351,"Ada")</f>
        <v>0</v>
      </c>
      <c r="E39" s="9" t="n">
        <f aca="false">COUNTIFS('Analisis Detail'!D2:D351,B39,'Analisis Detail'!N2:N351,"Tidak Ada")</f>
        <v>20</v>
      </c>
      <c r="F39" s="10" t="str">
        <f aca="false">IFERROR(AVERAGEIFS('Analisis Detail'!R2:R351,'Analisis Detail'!D2:D351,B39,'Analisis Detail'!N2:N351,"Ada"),"-")</f>
        <v>-</v>
      </c>
      <c r="G39" s="10" t="n">
        <f aca="false">AVERAGEIFS('Analisis Detail'!T2:T351,'Analisis Detail'!D2:D351,B39)</f>
        <v>0.107331627966823</v>
      </c>
    </row>
    <row r="40" customFormat="false" ht="15" hidden="false" customHeight="false" outlineLevel="0" collapsed="false">
      <c r="B40" s="8" t="s">
        <v>40</v>
      </c>
      <c r="C40" s="9" t="n">
        <f aca="false">COUNTIF('Analisis Detail'!D2:D351,B40)</f>
        <v>19</v>
      </c>
      <c r="D40" s="9" t="n">
        <f aca="false">COUNTIFS('Analisis Detail'!D2:D351,B40,'Analisis Detail'!N2:N351,"Ada")</f>
        <v>16</v>
      </c>
      <c r="E40" s="9" t="n">
        <f aca="false">COUNTIFS('Analisis Detail'!D2:D351,B40,'Analisis Detail'!N2:N351,"Tidak Ada")</f>
        <v>3</v>
      </c>
      <c r="F40" s="10" t="n">
        <f aca="false">IFERROR(AVERAGEIFS('Analisis Detail'!R2:R351,'Analisis Detail'!D2:D351,B40,'Analisis Detail'!N2:N351,"Ada"),"-")</f>
        <v>0.0520768121056331</v>
      </c>
      <c r="G40" s="10" t="n">
        <f aca="false">AVERAGEIFS('Analisis Detail'!T2:T351,'Analisis Detail'!D2:D351,B40)</f>
        <v>0.0800400259271495</v>
      </c>
    </row>
    <row r="41" customFormat="false" ht="15" hidden="false" customHeight="false" outlineLevel="0" collapsed="false">
      <c r="B41" s="8" t="s">
        <v>41</v>
      </c>
      <c r="C41" s="9" t="n">
        <f aca="false">COUNTIF('Analisis Detail'!D2:D351,B41)</f>
        <v>10</v>
      </c>
      <c r="D41" s="9" t="n">
        <f aca="false">COUNTIFS('Analisis Detail'!D2:D351,B41,'Analisis Detail'!N2:N351,"Ada")</f>
        <v>5</v>
      </c>
      <c r="E41" s="9" t="n">
        <f aca="false">COUNTIFS('Analisis Detail'!D2:D351,B41,'Analisis Detail'!N2:N351,"Tidak Ada")</f>
        <v>5</v>
      </c>
      <c r="F41" s="10" t="n">
        <f aca="false">IFERROR(AVERAGEIFS('Analisis Detail'!R2:R351,'Analisis Detail'!D2:D351,B41,'Analisis Detail'!N2:N351,"Ada"),"-")</f>
        <v>0.0954682986727681</v>
      </c>
      <c r="G41" s="10" t="n">
        <f aca="false">AVERAGEIFS('Analisis Detail'!T2:T351,'Analisis Detail'!D2:D351,B41)</f>
        <v>0.102285470875936</v>
      </c>
    </row>
    <row r="42" customFormat="false" ht="15" hidden="false" customHeight="false" outlineLevel="0" collapsed="false">
      <c r="B42" s="8" t="s">
        <v>42</v>
      </c>
      <c r="C42" s="9" t="n">
        <f aca="false">COUNTIF('Analisis Detail'!D2:D351,B42)</f>
        <v>11</v>
      </c>
      <c r="D42" s="9" t="n">
        <f aca="false">COUNTIFS('Analisis Detail'!D2:D351,B42,'Analisis Detail'!N2:N351,"Ada")</f>
        <v>4</v>
      </c>
      <c r="E42" s="9" t="n">
        <f aca="false">COUNTIFS('Analisis Detail'!D2:D351,B42,'Analisis Detail'!N2:N351,"Tidak Ada")</f>
        <v>7</v>
      </c>
      <c r="F42" s="10" t="n">
        <f aca="false">IFERROR(AVERAGEIFS('Analisis Detail'!R2:R351,'Analisis Detail'!D2:D351,B42,'Analisis Detail'!N2:N351,"Ada"),"-")</f>
        <v>0.0750402083697613</v>
      </c>
      <c r="G42" s="10" t="n">
        <f aca="false">AVERAGEIFS('Analisis Detail'!T2:T351,'Analisis Detail'!D2:D351,B42)</f>
        <v>0.0966600648482317</v>
      </c>
    </row>
    <row r="43" customFormat="false" ht="15" hidden="false" customHeight="false" outlineLevel="0" collapsed="false">
      <c r="B43" s="8" t="s">
        <v>43</v>
      </c>
      <c r="C43" s="9" t="n">
        <f aca="false">COUNTIF('Analisis Detail'!D2:D351,B43)</f>
        <v>15</v>
      </c>
      <c r="D43" s="9" t="n">
        <f aca="false">COUNTIFS('Analisis Detail'!D2:D351,B43,'Analisis Detail'!N2:N351,"Ada")</f>
        <v>0</v>
      </c>
      <c r="E43" s="9" t="n">
        <f aca="false">COUNTIFS('Analisis Detail'!D2:D351,B43,'Analisis Detail'!N2:N351,"Tidak Ada")</f>
        <v>15</v>
      </c>
      <c r="F43" s="10" t="str">
        <f aca="false">IFERROR(AVERAGEIFS('Analisis Detail'!R2:R351,'Analisis Detail'!D2:D351,B43,'Analisis Detail'!N2:N351,"Ada"),"-")</f>
        <v>-</v>
      </c>
      <c r="G43" s="10" t="n">
        <f aca="false">AVERAGEIFS('Analisis Detail'!T2:T351,'Analisis Detail'!D2:D351,B43)</f>
        <v>0.106567149698157</v>
      </c>
    </row>
    <row r="44" customFormat="false" ht="15" hidden="false" customHeight="false" outlineLevel="0" collapsed="false">
      <c r="B44" s="8" t="s">
        <v>44</v>
      </c>
      <c r="C44" s="9" t="n">
        <f aca="false">COUNTIF('Analisis Detail'!D2:D351,B44)</f>
        <v>19</v>
      </c>
      <c r="D44" s="9" t="n">
        <f aca="false">COUNTIFS('Analisis Detail'!D2:D351,B44,'Analisis Detail'!N2:N351,"Ada")</f>
        <v>14</v>
      </c>
      <c r="E44" s="9" t="n">
        <f aca="false">COUNTIFS('Analisis Detail'!D2:D351,B44,'Analisis Detail'!N2:N351,"Tidak Ada")</f>
        <v>5</v>
      </c>
      <c r="F44" s="10" t="n">
        <f aca="false">IFERROR(AVERAGEIFS('Analisis Detail'!R2:R351,'Analisis Detail'!D2:D351,B44,'Analisis Detail'!N2:N351,"Ada"),"-")</f>
        <v>0.0369781448214898</v>
      </c>
      <c r="G44" s="10" t="n">
        <f aca="false">AVERAGEIFS('Analisis Detail'!T2:T351,'Analisis Detail'!D2:D351,B44)</f>
        <v>0.0848685874577698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1" t="s">
        <v>45</v>
      </c>
      <c r="B1" s="11" t="s">
        <v>46</v>
      </c>
      <c r="C1" s="11" t="s">
        <v>47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</row>
    <row r="2" customFormat="false" ht="15.75" hidden="false" customHeight="false" outlineLevel="0" collapsed="false">
      <c r="A2" s="12" t="s">
        <v>53</v>
      </c>
      <c r="B2" s="12" t="s">
        <v>54</v>
      </c>
      <c r="C2" s="12" t="s">
        <v>55</v>
      </c>
      <c r="D2" s="12" t="s">
        <v>56</v>
      </c>
      <c r="E2" s="12" t="s">
        <v>57</v>
      </c>
      <c r="F2" s="12" t="s">
        <v>58</v>
      </c>
      <c r="G2" s="12" t="s">
        <v>59</v>
      </c>
      <c r="H2" s="13" t="s">
        <v>60</v>
      </c>
    </row>
    <row r="3" customFormat="false" ht="15.75" hidden="false" customHeight="false" outlineLevel="0" collapsed="false">
      <c r="A3" s="14" t="s">
        <v>61</v>
      </c>
      <c r="B3" s="14" t="s">
        <v>54</v>
      </c>
      <c r="C3" s="14" t="s">
        <v>62</v>
      </c>
      <c r="D3" s="14" t="s">
        <v>63</v>
      </c>
      <c r="E3" s="14" t="s">
        <v>64</v>
      </c>
      <c r="F3" s="14" t="s">
        <v>65</v>
      </c>
      <c r="G3" s="14" t="s">
        <v>65</v>
      </c>
      <c r="H3" s="13" t="s">
        <v>60</v>
      </c>
    </row>
    <row r="4" customFormat="false" ht="15.75" hidden="false" customHeight="false" outlineLevel="0" collapsed="false">
      <c r="A4" s="12" t="s">
        <v>66</v>
      </c>
      <c r="B4" s="12" t="s">
        <v>54</v>
      </c>
      <c r="C4" s="12" t="s">
        <v>67</v>
      </c>
      <c r="D4" s="12" t="s">
        <v>68</v>
      </c>
      <c r="E4" s="12" t="s">
        <v>69</v>
      </c>
      <c r="F4" s="12" t="s">
        <v>70</v>
      </c>
      <c r="G4" s="12" t="s">
        <v>71</v>
      </c>
      <c r="H4" s="13" t="s">
        <v>60</v>
      </c>
    </row>
    <row r="5" customFormat="false" ht="15.75" hidden="false" customHeight="false" outlineLevel="0" collapsed="false">
      <c r="A5" s="14" t="s">
        <v>72</v>
      </c>
      <c r="B5" s="14" t="s">
        <v>54</v>
      </c>
      <c r="C5" s="14" t="s">
        <v>73</v>
      </c>
      <c r="D5" s="14" t="s">
        <v>74</v>
      </c>
      <c r="E5" s="14" t="s">
        <v>75</v>
      </c>
      <c r="F5" s="14" t="s">
        <v>76</v>
      </c>
      <c r="G5" s="14" t="s">
        <v>77</v>
      </c>
      <c r="H5" s="13" t="s">
        <v>60</v>
      </c>
    </row>
    <row r="6" customFormat="false" ht="15.75" hidden="false" customHeight="false" outlineLevel="0" collapsed="false">
      <c r="A6" s="12" t="s">
        <v>78</v>
      </c>
      <c r="B6" s="12" t="s">
        <v>54</v>
      </c>
      <c r="C6" s="12" t="s">
        <v>79</v>
      </c>
      <c r="D6" s="12" t="s">
        <v>80</v>
      </c>
      <c r="E6" s="12" t="s">
        <v>81</v>
      </c>
      <c r="F6" s="12" t="s">
        <v>82</v>
      </c>
      <c r="G6" s="12" t="s">
        <v>83</v>
      </c>
      <c r="H6" s="13" t="s">
        <v>60</v>
      </c>
    </row>
    <row r="7" customFormat="false" ht="15.75" hidden="false" customHeight="false" outlineLevel="0" collapsed="false">
      <c r="A7" s="14" t="s">
        <v>84</v>
      </c>
      <c r="B7" s="14" t="s">
        <v>54</v>
      </c>
      <c r="C7" s="14" t="s">
        <v>85</v>
      </c>
      <c r="D7" s="14" t="s">
        <v>86</v>
      </c>
      <c r="E7" s="14" t="s">
        <v>87</v>
      </c>
      <c r="F7" s="14" t="s">
        <v>88</v>
      </c>
      <c r="G7" s="14" t="s">
        <v>89</v>
      </c>
      <c r="H7" s="13" t="s">
        <v>60</v>
      </c>
    </row>
    <row r="8" customFormat="false" ht="15.75" hidden="false" customHeight="false" outlineLevel="0" collapsed="false">
      <c r="A8" s="12" t="s">
        <v>90</v>
      </c>
      <c r="B8" s="12" t="s">
        <v>54</v>
      </c>
      <c r="C8" s="12" t="s">
        <v>91</v>
      </c>
      <c r="D8" s="12" t="s">
        <v>92</v>
      </c>
      <c r="E8" s="12" t="s">
        <v>93</v>
      </c>
      <c r="F8" s="12" t="s">
        <v>94</v>
      </c>
      <c r="G8" s="12" t="s">
        <v>95</v>
      </c>
      <c r="H8" s="13" t="s">
        <v>60</v>
      </c>
    </row>
    <row r="9" customFormat="false" ht="15.75" hidden="false" customHeight="false" outlineLevel="0" collapsed="false">
      <c r="A9" s="14" t="s">
        <v>96</v>
      </c>
      <c r="B9" s="14" t="s">
        <v>54</v>
      </c>
      <c r="C9" s="14" t="s">
        <v>97</v>
      </c>
      <c r="D9" s="14" t="s">
        <v>98</v>
      </c>
      <c r="E9" s="14" t="s">
        <v>99</v>
      </c>
      <c r="F9" s="14" t="s">
        <v>100</v>
      </c>
      <c r="G9" s="14" t="s">
        <v>101</v>
      </c>
      <c r="H9" s="13" t="s">
        <v>60</v>
      </c>
    </row>
    <row r="10" customFormat="false" ht="15.75" hidden="false" customHeight="false" outlineLevel="0" collapsed="false">
      <c r="A10" s="12" t="s">
        <v>102</v>
      </c>
      <c r="B10" s="12" t="s">
        <v>54</v>
      </c>
      <c r="C10" s="12" t="s">
        <v>103</v>
      </c>
      <c r="D10" s="12" t="s">
        <v>104</v>
      </c>
      <c r="E10" s="12" t="s">
        <v>105</v>
      </c>
      <c r="F10" s="12" t="s">
        <v>106</v>
      </c>
      <c r="G10" s="12" t="s">
        <v>107</v>
      </c>
      <c r="H10" s="13" t="s">
        <v>60</v>
      </c>
    </row>
    <row r="11" customFormat="false" ht="15.75" hidden="false" customHeight="false" outlineLevel="0" collapsed="false">
      <c r="A11" s="14" t="s">
        <v>108</v>
      </c>
      <c r="B11" s="14" t="s">
        <v>54</v>
      </c>
      <c r="C11" s="14" t="s">
        <v>109</v>
      </c>
      <c r="D11" s="14" t="s">
        <v>110</v>
      </c>
      <c r="E11" s="14" t="s">
        <v>111</v>
      </c>
      <c r="F11" s="14" t="s">
        <v>112</v>
      </c>
      <c r="G11" s="14" t="s">
        <v>113</v>
      </c>
      <c r="H11" s="13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114</v>
      </c>
    </row>
    <row r="2" customFormat="false" ht="15.75" hidden="false" customHeight="false" outlineLevel="0" collapsed="false">
      <c r="A2" s="16" t="s">
        <v>115</v>
      </c>
    </row>
    <row r="3" customFormat="false" ht="15.75" hidden="false" customHeight="false" outlineLevel="0" collapsed="false">
      <c r="A3" s="16" t="s">
        <v>116</v>
      </c>
    </row>
    <row r="4" customFormat="false" ht="15.75" hidden="false" customHeight="false" outlineLevel="0" collapsed="false">
      <c r="A4" s="17" t="n">
        <v>143744</v>
      </c>
    </row>
    <row r="5" customFormat="false" ht="15.75" hidden="false" customHeight="false" outlineLevel="0" collapsed="false">
      <c r="A5" s="18" t="s">
        <v>117</v>
      </c>
    </row>
    <row r="6" customFormat="false" ht="15.75" hidden="false" customHeight="false" outlineLevel="0" collapsed="false">
      <c r="A6" s="15" t="s">
        <v>117</v>
      </c>
    </row>
    <row r="7" customFormat="false" ht="15.75" hidden="false" customHeight="false" outlineLevel="0" collapsed="false">
      <c r="A7" s="16" t="s">
        <v>55</v>
      </c>
    </row>
    <row r="8" customFormat="false" ht="15.75" hidden="false" customHeight="false" outlineLevel="0" collapsed="false">
      <c r="A8" s="17" t="n">
        <v>15008</v>
      </c>
    </row>
    <row r="9" customFormat="false" ht="15.75" hidden="false" customHeight="false" outlineLevel="0" collapsed="false">
      <c r="A9" s="16" t="s">
        <v>62</v>
      </c>
    </row>
    <row r="10" customFormat="false" ht="15.75" hidden="false" customHeight="false" outlineLevel="0" collapsed="false">
      <c r="A10" s="17" t="n">
        <v>43756</v>
      </c>
    </row>
    <row r="11" customFormat="false" ht="15.75" hidden="false" customHeight="false" outlineLevel="0" collapsed="false">
      <c r="A11" s="16" t="s">
        <v>67</v>
      </c>
    </row>
    <row r="12" customFormat="false" ht="15.75" hidden="false" customHeight="false" outlineLevel="0" collapsed="false">
      <c r="A12" s="17" t="n">
        <v>75037</v>
      </c>
    </row>
    <row r="13" customFormat="false" ht="15.75" hidden="false" customHeight="false" outlineLevel="0" collapsed="false">
      <c r="A13" s="16" t="s">
        <v>73</v>
      </c>
    </row>
    <row r="14" customFormat="false" ht="15.75" hidden="false" customHeight="false" outlineLevel="0" collapsed="false">
      <c r="A14" s="17" t="n">
        <v>149072</v>
      </c>
    </row>
    <row r="15" customFormat="false" ht="15.75" hidden="false" customHeight="false" outlineLevel="0" collapsed="false">
      <c r="A15" s="16" t="s">
        <v>79</v>
      </c>
    </row>
    <row r="16" customFormat="false" ht="15.75" hidden="false" customHeight="false" outlineLevel="0" collapsed="false">
      <c r="A16" s="17" t="n">
        <v>299143</v>
      </c>
    </row>
    <row r="17" customFormat="false" ht="15.75" hidden="false" customHeight="false" outlineLevel="0" collapsed="false">
      <c r="A17" s="16" t="s">
        <v>85</v>
      </c>
    </row>
    <row r="18" customFormat="false" ht="15.75" hidden="false" customHeight="false" outlineLevel="0" collapsed="false">
      <c r="A18" s="17" t="n">
        <v>449215</v>
      </c>
    </row>
    <row r="19" customFormat="false" ht="15.75" hidden="false" customHeight="false" outlineLevel="0" collapsed="false">
      <c r="A19" s="16" t="s">
        <v>91</v>
      </c>
    </row>
    <row r="20" customFormat="false" ht="15.75" hidden="false" customHeight="false" outlineLevel="0" collapsed="false">
      <c r="A20" s="17" t="n">
        <v>749359</v>
      </c>
    </row>
    <row r="21" customFormat="false" ht="15.75" hidden="false" customHeight="false" outlineLevel="0" collapsed="false">
      <c r="A21" s="16" t="s">
        <v>97</v>
      </c>
    </row>
    <row r="22" customFormat="false" ht="15.75" hidden="false" customHeight="false" outlineLevel="0" collapsed="false">
      <c r="A22" s="17" t="n">
        <v>1499716</v>
      </c>
    </row>
    <row r="23" customFormat="false" ht="15.75" hidden="false" customHeight="false" outlineLevel="0" collapsed="false">
      <c r="A23" s="16" t="s">
        <v>103</v>
      </c>
    </row>
    <row r="24" customFormat="false" ht="15.75" hidden="false" customHeight="false" outlineLevel="0" collapsed="false">
      <c r="A24" s="17" t="n">
        <v>5002388</v>
      </c>
    </row>
    <row r="25" customFormat="false" ht="15.75" hidden="false" customHeight="false" outlineLevel="0" collapsed="false">
      <c r="A25" s="16" t="s">
        <v>109</v>
      </c>
    </row>
    <row r="26" customFormat="false" ht="15.75" hidden="false" customHeight="false" outlineLevel="0" collapsed="false">
      <c r="A26" s="17" t="n">
        <v>10004775</v>
      </c>
    </row>
    <row r="27" customFormat="false" ht="15.75" hidden="false" customHeight="false" outlineLevel="0" collapsed="false">
      <c r="A27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0" t="s">
        <v>45</v>
      </c>
      <c r="B1" s="20" t="s">
        <v>46</v>
      </c>
      <c r="C1" s="20" t="s">
        <v>47</v>
      </c>
      <c r="D1" s="20" t="s">
        <v>48</v>
      </c>
      <c r="E1" s="20" t="s">
        <v>49</v>
      </c>
      <c r="F1" s="20" t="s">
        <v>50</v>
      </c>
      <c r="G1" s="20" t="s">
        <v>51</v>
      </c>
      <c r="H1" s="20" t="s">
        <v>52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customFormat="false" ht="15.75" hidden="false" customHeight="false" outlineLevel="0" collapsed="false">
      <c r="A2" s="22" t="s">
        <v>118</v>
      </c>
      <c r="B2" s="22" t="s">
        <v>119</v>
      </c>
      <c r="C2" s="22" t="s">
        <v>120</v>
      </c>
      <c r="D2" s="22" t="s">
        <v>121</v>
      </c>
      <c r="E2" s="22" t="s">
        <v>122</v>
      </c>
      <c r="F2" s="22" t="s">
        <v>123</v>
      </c>
      <c r="G2" s="22" t="s">
        <v>124</v>
      </c>
      <c r="H2" s="22" t="s">
        <v>60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customFormat="false" ht="15.75" hidden="false" customHeight="false" outlineLevel="0" collapsed="false">
      <c r="A3" s="22" t="s">
        <v>125</v>
      </c>
      <c r="B3" s="22" t="s">
        <v>119</v>
      </c>
      <c r="C3" s="22" t="s">
        <v>126</v>
      </c>
      <c r="D3" s="22" t="s">
        <v>127</v>
      </c>
      <c r="E3" s="22" t="s">
        <v>128</v>
      </c>
      <c r="F3" s="22" t="s">
        <v>129</v>
      </c>
      <c r="G3" s="22" t="s">
        <v>130</v>
      </c>
      <c r="H3" s="22" t="s">
        <v>60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customFormat="false" ht="15.75" hidden="false" customHeight="false" outlineLevel="0" collapsed="false">
      <c r="A4" s="22" t="s">
        <v>131</v>
      </c>
      <c r="B4" s="22" t="s">
        <v>119</v>
      </c>
      <c r="C4" s="22" t="s">
        <v>132</v>
      </c>
      <c r="D4" s="22" t="s">
        <v>133</v>
      </c>
      <c r="E4" s="22" t="s">
        <v>134</v>
      </c>
      <c r="F4" s="22" t="s">
        <v>135</v>
      </c>
      <c r="G4" s="22" t="s">
        <v>136</v>
      </c>
      <c r="H4" s="22" t="s">
        <v>60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customFormat="false" ht="15.75" hidden="false" customHeight="false" outlineLevel="0" collapsed="false">
      <c r="A5" s="22" t="s">
        <v>137</v>
      </c>
      <c r="B5" s="22" t="s">
        <v>119</v>
      </c>
      <c r="C5" s="22" t="s">
        <v>138</v>
      </c>
      <c r="D5" s="22" t="s">
        <v>139</v>
      </c>
      <c r="E5" s="22" t="s">
        <v>140</v>
      </c>
      <c r="F5" s="22" t="s">
        <v>141</v>
      </c>
      <c r="G5" s="22" t="s">
        <v>142</v>
      </c>
      <c r="H5" s="22" t="s">
        <v>60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customFormat="false" ht="15.75" hidden="false" customHeight="false" outlineLevel="0" collapsed="false">
      <c r="A6" s="22" t="s">
        <v>143</v>
      </c>
      <c r="B6" s="22" t="s">
        <v>119</v>
      </c>
      <c r="C6" s="22" t="s">
        <v>144</v>
      </c>
      <c r="D6" s="22" t="s">
        <v>145</v>
      </c>
      <c r="E6" s="22" t="s">
        <v>146</v>
      </c>
      <c r="F6" s="22" t="s">
        <v>147</v>
      </c>
      <c r="G6" s="22" t="s">
        <v>148</v>
      </c>
      <c r="H6" s="22" t="s">
        <v>60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customFormat="false" ht="15.75" hidden="false" customHeight="false" outlineLevel="0" collapsed="false">
      <c r="A7" s="22" t="s">
        <v>149</v>
      </c>
      <c r="B7" s="22" t="s">
        <v>119</v>
      </c>
      <c r="C7" s="22" t="s">
        <v>150</v>
      </c>
      <c r="D7" s="22" t="s">
        <v>151</v>
      </c>
      <c r="E7" s="22" t="s">
        <v>152</v>
      </c>
      <c r="F7" s="22" t="s">
        <v>153</v>
      </c>
      <c r="G7" s="22" t="s">
        <v>154</v>
      </c>
      <c r="H7" s="22" t="s">
        <v>60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customFormat="false" ht="15.75" hidden="false" customHeight="false" outlineLevel="0" collapsed="false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customFormat="false" ht="15.75" hidden="false" customHeight="fals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customFormat="false" ht="15.75" hidden="false" customHeight="false" outlineLevel="0" collapsed="false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customFormat="false" ht="15.75" hidden="false" customHeight="fals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customFormat="false" ht="15.75" hidden="false" customHeight="false" outlineLevel="0" collapsed="false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customFormat="false" ht="15.75" hidden="false" customHeight="fals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customFormat="false" ht="15.75" hidden="false" customHeight="false" outlineLevel="0" collapsed="false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customFormat="false" ht="15.75" hidden="false" customHeight="fals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customFormat="false" ht="15.75" hidden="false" customHeight="fals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customFormat="false" ht="15.75" hidden="false" customHeight="fals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customFormat="false" ht="15.75" hidden="false" customHeight="fals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customFormat="false" ht="15.75" hidden="false" customHeight="fals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customFormat="false" ht="15.75" hidden="false" customHeight="false" outlineLevel="0" collapsed="false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customFormat="false" ht="15.75" hidden="false" customHeight="fals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customFormat="false" ht="15.75" hidden="false" customHeight="false" outlineLevel="0" collapsed="false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customFormat="false" ht="15.75" hidden="false" customHeight="fals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customFormat="false" ht="15.75" hidden="false" customHeight="false" outlineLevel="0" collapsed="false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customFormat="false" ht="15.75" hidden="false" customHeight="fals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customFormat="false" ht="15.75" hidden="false" customHeight="fals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customFormat="false" ht="15.75" hidden="false" customHeight="fals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customFormat="false" ht="15.75" hidden="false" customHeight="false" outlineLevel="0" collapsed="false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customFormat="false" ht="15.75" hidden="false" customHeight="fals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customFormat="false" ht="15.75" hidden="false" customHeight="false" outlineLevel="0" collapsed="false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customFormat="false" ht="15.75" hidden="false" customHeight="fals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customFormat="false" ht="15.75" hidden="false" customHeight="false" outlineLevel="0" collapsed="false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customFormat="false" ht="15.75" hidden="false" customHeight="fals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customFormat="false" ht="15.75" hidden="false" customHeight="fals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customFormat="false" ht="15.75" hidden="false" customHeight="fals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customFormat="false" ht="15.75" hidden="false" customHeight="false" outlineLevel="0" collapsed="false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customFormat="false" ht="15.75" hidden="false" customHeight="fals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customFormat="false" ht="15.75" hidden="false" customHeight="fals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customFormat="false" ht="15.75" hidden="false" customHeight="fals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customFormat="false" ht="15.75" hidden="false" customHeight="false" outlineLevel="0" collapsed="false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customFormat="false" ht="15.75" hidden="false" customHeight="fals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customFormat="false" ht="15.75" hidden="false" customHeight="false" outlineLevel="0" collapsed="false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customFormat="false" ht="15.75" hidden="false" customHeight="fals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customFormat="false" ht="15.75" hidden="false" customHeight="false" outlineLevel="0" collapsed="false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customFormat="false" ht="15.75" hidden="false" customHeight="fals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customFormat="false" ht="15.75" hidden="false" customHeight="fals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customFormat="false" ht="15.75" hidden="false" customHeight="fals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customFormat="false" ht="15.75" hidden="false" customHeight="fals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customFormat="false" ht="15.75" hidden="false" customHeight="fals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customFormat="false" ht="15.75" hidden="false" customHeight="fals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customFormat="false" ht="15.75" hidden="false" customHeight="fals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customFormat="false" ht="15.75" hidden="false" customHeight="fals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customFormat="false" ht="15.75" hidden="false" customHeight="fals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customFormat="false" ht="15.75" hidden="false" customHeight="fals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customFormat="false" ht="15.75" hidden="false" customHeight="fals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customFormat="false" ht="15.75" hidden="false" customHeight="fals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customFormat="false" ht="15.75" hidden="false" customHeight="fals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customFormat="false" ht="15.75" hidden="false" customHeight="fals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customFormat="false" ht="15.75" hidden="false" customHeight="fals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customFormat="false" ht="15.75" hidden="false" customHeight="fals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customFormat="false" ht="15.75" hidden="false" customHeight="fals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customFormat="false" ht="15.75" hidden="false" customHeight="fals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customFormat="false" ht="15.75" hidden="false" customHeight="fals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customFormat="false" ht="15.75" hidden="false" customHeight="fals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customFormat="false" ht="15.75" hidden="false" customHeight="fals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customFormat="false" ht="15.75" hidden="false" customHeight="fals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customFormat="false" ht="15.75" hidden="false" customHeight="fals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customFormat="false" ht="15.75" hidden="false" customHeight="fals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customFormat="false" ht="15.75" hidden="false" customHeight="fals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customFormat="false" ht="15.75" hidden="false" customHeight="fals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customFormat="false" ht="15.75" hidden="false" customHeight="fals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customFormat="false" ht="15.75" hidden="false" customHeight="fals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customFormat="false" ht="15.75" hidden="false" customHeight="fals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customFormat="false" ht="15.75" hidden="false" customHeight="fals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customFormat="false" ht="15.75" hidden="false" customHeight="fals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customFormat="false" ht="15.75" hidden="false" customHeight="fals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customFormat="false" ht="15.75" hidden="false" customHeight="fals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customFormat="false" ht="15.75" hidden="false" customHeight="fals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customFormat="false" ht="15.75" hidden="false" customHeight="fals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customFormat="false" ht="15.75" hidden="false" customHeight="fals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customFormat="false" ht="15.75" hidden="false" customHeight="fals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customFormat="false" ht="15.75" hidden="false" customHeight="fals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customFormat="false" ht="15.75" hidden="false" customHeight="fals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customFormat="false" ht="15.75" hidden="false" customHeight="false" outlineLevel="0" collapsed="false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customFormat="false" ht="15.75" hidden="false" customHeight="fals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customFormat="false" ht="15.75" hidden="false" customHeight="false" outlineLevel="0" collapsed="false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customFormat="false" ht="15.75" hidden="false" customHeight="fals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customFormat="false" ht="15.75" hidden="false" customHeight="false" outlineLevel="0" collapsed="false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customFormat="false" ht="15.75" hidden="false" customHeight="fals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customFormat="false" ht="15.75" hidden="false" customHeight="false" outlineLevel="0" collapsed="false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customFormat="false" ht="15.75" hidden="false" customHeight="fals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customFormat="false" ht="15.75" hidden="false" customHeight="false" outlineLevel="0" collapsed="false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customFormat="false" ht="15.75" hidden="false" customHeight="fals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customFormat="false" ht="15.75" hidden="false" customHeight="false" outlineLevel="0" collapsed="false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customFormat="false" ht="15.75" hidden="false" customHeight="false" outlineLevel="0" collapsed="false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customFormat="false" ht="15.75" hidden="false" customHeight="false" outlineLevel="0" collapsed="false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customFormat="false" ht="15.75" hidden="false" customHeight="fals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customFormat="false" ht="15.75" hidden="false" customHeight="false" outlineLevel="0" collapsed="false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customFormat="false" ht="15.75" hidden="false" customHeight="fals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customFormat="false" ht="15.75" hidden="false" customHeight="false" outlineLevel="0" collapsed="false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customFormat="false" ht="15.75" hidden="false" customHeight="fals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customFormat="false" ht="15.75" hidden="false" customHeight="false" outlineLevel="0" collapsed="false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customFormat="false" ht="15.75" hidden="false" customHeight="false" outlineLevel="0" collapsed="false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customFormat="false" ht="15.75" hidden="false" customHeight="false" outlineLevel="0" collapsed="false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customFormat="false" ht="15.75" hidden="false" customHeight="false" outlineLevel="0" collapsed="false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customFormat="false" ht="15.75" hidden="false" customHeight="false" outlineLevel="0" collapsed="false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customFormat="false" ht="15.75" hidden="false" customHeight="false" outlineLevel="0" collapsed="false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customFormat="false" ht="15.75" hidden="false" customHeight="false" outlineLevel="0" collapsed="false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customFormat="false" ht="15.75" hidden="false" customHeight="false" outlineLevel="0" collapsed="false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customFormat="false" ht="15.75" hidden="false" customHeight="false" outlineLevel="0" collapsed="false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customFormat="false" ht="15.75" hidden="false" customHeight="false" outlineLevel="0" collapsed="false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customFormat="false" ht="15.75" hidden="false" customHeight="false" outlineLevel="0" collapsed="false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customFormat="false" ht="15.75" hidden="false" customHeight="fals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customFormat="false" ht="15.75" hidden="false" customHeight="false" outlineLevel="0" collapsed="false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customFormat="false" ht="15.75" hidden="false" customHeight="false" outlineLevel="0" collapsed="false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customFormat="false" ht="15.75" hidden="false" customHeight="false" outlineLevel="0" collapsed="false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customFormat="false" ht="15.75" hidden="false" customHeight="false" outlineLevel="0" collapsed="false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customFormat="false" ht="15.75" hidden="false" customHeight="false" outlineLevel="0" collapsed="false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customFormat="false" ht="15.75" hidden="false" customHeight="false" outlineLevel="0" collapsed="false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customFormat="false" ht="15.75" hidden="false" customHeight="false" outlineLevel="0" collapsed="false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customFormat="false" ht="15.75" hidden="false" customHeight="false" outlineLevel="0" collapsed="false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customFormat="false" ht="15.75" hidden="false" customHeight="false" outlineLevel="0" collapsed="false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customFormat="false" ht="15.75" hidden="false" customHeight="false" outlineLevel="0" collapsed="false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customFormat="false" ht="15.75" hidden="false" customHeight="false" outlineLevel="0" collapsed="false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customFormat="false" ht="15.75" hidden="false" customHeight="fals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customFormat="false" ht="15.75" hidden="false" customHeight="fals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customFormat="false" ht="15.75" hidden="false" customHeight="fals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customFormat="false" ht="15.75" hidden="false" customHeight="fals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customFormat="false" ht="15.75" hidden="false" customHeight="fals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customFormat="false" ht="15.75" hidden="false" customHeight="fals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customFormat="false" ht="15.75" hidden="false" customHeight="fals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customFormat="false" ht="15.75" hidden="false" customHeight="fals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customFormat="false" ht="15.75" hidden="false" customHeight="fals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customFormat="false" ht="15.75" hidden="false" customHeight="fals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customFormat="false" ht="15.75" hidden="false" customHeight="fals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customFormat="false" ht="15.75" hidden="false" customHeight="fals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customFormat="false" ht="15.75" hidden="false" customHeight="fals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customFormat="false" ht="15.75" hidden="false" customHeight="fals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customFormat="false" ht="15.75" hidden="false" customHeight="fals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customFormat="false" ht="15.75" hidden="false" customHeight="fals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customFormat="false" ht="15.75" hidden="false" customHeight="fals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customFormat="false" ht="15.75" hidden="false" customHeight="fals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customFormat="false" ht="15.75" hidden="false" customHeight="fals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customFormat="false" ht="15.75" hidden="false" customHeight="fals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customFormat="false" ht="15.75" hidden="false" customHeight="fals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customFormat="false" ht="15.75" hidden="false" customHeight="fals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customFormat="false" ht="15.75" hidden="false" customHeight="fals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customFormat="false" ht="15.75" hidden="false" customHeight="fals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customFormat="false" ht="15.75" hidden="false" customHeight="fals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customFormat="false" ht="15.75" hidden="false" customHeight="fals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customFormat="false" ht="15.75" hidden="false" customHeight="fals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customFormat="false" ht="15.75" hidden="false" customHeight="fals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customFormat="false" ht="15.75" hidden="false" customHeight="fals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customFormat="false" ht="15.75" hidden="false" customHeight="fals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customFormat="false" ht="15.75" hidden="false" customHeight="fals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customFormat="false" ht="15.75" hidden="false" customHeight="fals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customFormat="false" ht="15.75" hidden="false" customHeight="fals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customFormat="false" ht="15.75" hidden="false" customHeight="fals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customFormat="false" ht="15.75" hidden="false" customHeight="fals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customFormat="false" ht="15.75" hidden="false" customHeight="fals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customFormat="false" ht="15.75" hidden="false" customHeight="fals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customFormat="false" ht="15.75" hidden="false" customHeight="fals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customFormat="false" ht="15.75" hidden="false" customHeight="fals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customFormat="false" ht="15.75" hidden="false" customHeight="fals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customFormat="false" ht="15.75" hidden="false" customHeight="fals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customFormat="false" ht="15.75" hidden="false" customHeight="fals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customFormat="false" ht="15.75" hidden="false" customHeight="fals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customFormat="false" ht="15.75" hidden="false" customHeight="fals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customFormat="false" ht="15.75" hidden="false" customHeight="fals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customFormat="false" ht="15.75" hidden="false" customHeight="fals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customFormat="false" ht="15.75" hidden="false" customHeight="fals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customFormat="false" ht="15.75" hidden="false" customHeight="fals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customFormat="false" ht="15.75" hidden="false" customHeight="fals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customFormat="false" ht="15.75" hidden="false" customHeight="fals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customFormat="false" ht="15.75" hidden="false" customHeight="fals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customFormat="false" ht="15.75" hidden="false" customHeight="fals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customFormat="false" ht="15.75" hidden="false" customHeight="fals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customFormat="false" ht="15.75" hidden="false" customHeight="fals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customFormat="false" ht="15.75" hidden="false" customHeight="fals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customFormat="false" ht="15.75" hidden="false" customHeight="fals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customFormat="false" ht="15.75" hidden="false" customHeight="fals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customFormat="false" ht="15.75" hidden="false" customHeight="fals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customFormat="false" ht="15.75" hidden="false" customHeight="fals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customFormat="false" ht="15.75" hidden="false" customHeight="fals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customFormat="false" ht="15.75" hidden="false" customHeight="fals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customFormat="false" ht="15.75" hidden="false" customHeight="fals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customFormat="false" ht="15.75" hidden="false" customHeight="fals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customFormat="false" ht="15.75" hidden="false" customHeight="fals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customFormat="false" ht="15.75" hidden="false" customHeight="fals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customFormat="false" ht="15.75" hidden="false" customHeight="fals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customFormat="false" ht="15.75" hidden="false" customHeight="fals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customFormat="false" ht="15.75" hidden="false" customHeight="fals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customFormat="false" ht="15.75" hidden="false" customHeight="fals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customFormat="false" ht="15.75" hidden="false" customHeight="fals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customFormat="false" ht="15.75" hidden="false" customHeight="fals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customFormat="false" ht="15.75" hidden="false" customHeight="fals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customFormat="false" ht="15.75" hidden="false" customHeight="fals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customFormat="false" ht="15.75" hidden="false" customHeight="fals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customFormat="false" ht="15.75" hidden="false" customHeight="fals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customFormat="false" ht="15.75" hidden="false" customHeight="fals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customFormat="false" ht="15.75" hidden="false" customHeight="fals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customFormat="false" ht="15.75" hidden="false" customHeight="fals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customFormat="false" ht="15.75" hidden="false" customHeight="false" outlineLevel="0" collapsed="false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customFormat="false" ht="15.75" hidden="false" customHeight="false" outlineLevel="0" collapsed="false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customFormat="false" ht="15.75" hidden="false" customHeight="false" outlineLevel="0" collapsed="false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customFormat="false" ht="15.75" hidden="false" customHeight="false" outlineLevel="0" collapsed="false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customFormat="false" ht="15.75" hidden="false" customHeight="false" outlineLevel="0" collapsed="false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customFormat="false" ht="15.75" hidden="false" customHeight="false" outlineLevel="0" collapsed="false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customFormat="false" ht="15.75" hidden="false" customHeight="false" outlineLevel="0" collapsed="false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customFormat="false" ht="15.75" hidden="false" customHeight="false" outlineLevel="0" collapsed="false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customFormat="false" ht="15.75" hidden="false" customHeight="false" outlineLevel="0" collapsed="false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customFormat="false" ht="15.75" hidden="false" customHeight="false" outlineLevel="0" collapsed="false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customFormat="false" ht="15.75" hidden="false" customHeight="false" outlineLevel="0" collapsed="false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customFormat="false" ht="15.75" hidden="false" customHeight="false" outlineLevel="0" collapsed="false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customFormat="false" ht="15.75" hidden="false" customHeight="false" outlineLevel="0" collapsed="false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customFormat="false" ht="15.75" hidden="false" customHeight="false" outlineLevel="0" collapsed="false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customFormat="false" ht="15.75" hidden="false" customHeight="false" outlineLevel="0" collapsed="false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customFormat="false" ht="15.75" hidden="false" customHeight="false" outlineLevel="0" collapsed="false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customFormat="false" ht="15.75" hidden="false" customHeight="false" outlineLevel="0" collapsed="false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customFormat="false" ht="15.75" hidden="false" customHeight="false" outlineLevel="0" collapsed="false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customFormat="false" ht="15.75" hidden="false" customHeight="false" outlineLevel="0" collapsed="false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customFormat="false" ht="15.75" hidden="false" customHeight="false" outlineLevel="0" collapsed="false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customFormat="false" ht="15.75" hidden="false" customHeight="false" outlineLevel="0" collapsed="false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customFormat="false" ht="15.75" hidden="false" customHeight="false" outlineLevel="0" collapsed="false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customFormat="false" ht="15.75" hidden="false" customHeight="false" outlineLevel="0" collapsed="false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customFormat="false" ht="15.75" hidden="false" customHeight="false" outlineLevel="0" collapsed="false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customFormat="false" ht="15.75" hidden="false" customHeight="false" outlineLevel="0" collapsed="false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customFormat="false" ht="15.75" hidden="false" customHeight="false" outlineLevel="0" collapsed="false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customFormat="false" ht="15.75" hidden="false" customHeight="false" outlineLevel="0" collapsed="false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customFormat="false" ht="15.75" hidden="false" customHeight="false" outlineLevel="0" collapsed="false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customFormat="false" ht="15.75" hidden="false" customHeight="false" outlineLevel="0" collapsed="false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customFormat="false" ht="15.75" hidden="false" customHeight="false" outlineLevel="0" collapsed="false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customFormat="false" ht="15.75" hidden="false" customHeight="false" outlineLevel="0" collapsed="false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customFormat="false" ht="15.75" hidden="false" customHeight="false" outlineLevel="0" collapsed="false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customFormat="false" ht="15.75" hidden="false" customHeight="false" outlineLevel="0" collapsed="false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customFormat="false" ht="15.75" hidden="false" customHeight="false" outlineLevel="0" collapsed="false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customFormat="false" ht="15.75" hidden="false" customHeight="false" outlineLevel="0" collapsed="false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customFormat="false" ht="15.75" hidden="false" customHeight="false" outlineLevel="0" collapsed="false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customFormat="false" ht="15.75" hidden="false" customHeight="false" outlineLevel="0" collapsed="false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customFormat="false" ht="15.75" hidden="false" customHeight="false" outlineLevel="0" collapsed="false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customFormat="false" ht="15.75" hidden="false" customHeight="false" outlineLevel="0" collapsed="false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customFormat="false" ht="15.75" hidden="false" customHeight="false" outlineLevel="0" collapsed="false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customFormat="false" ht="15.75" hidden="false" customHeight="false" outlineLevel="0" collapsed="false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customFormat="false" ht="15.75" hidden="false" customHeight="false" outlineLevel="0" collapsed="false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customFormat="false" ht="15.75" hidden="false" customHeight="false" outlineLevel="0" collapsed="false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customFormat="false" ht="15.75" hidden="false" customHeight="false" outlineLevel="0" collapsed="false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customFormat="false" ht="15.75" hidden="false" customHeight="false" outlineLevel="0" collapsed="false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customFormat="false" ht="15.75" hidden="false" customHeight="false" outlineLevel="0" collapsed="false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customFormat="false" ht="15.75" hidden="false" customHeight="false" outlineLevel="0" collapsed="false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customFormat="false" ht="15.75" hidden="false" customHeight="false" outlineLevel="0" collapsed="false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customFormat="false" ht="15.75" hidden="false" customHeight="false" outlineLevel="0" collapsed="false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customFormat="false" ht="15.75" hidden="false" customHeight="false" outlineLevel="0" collapsed="false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customFormat="false" ht="15.75" hidden="false" customHeight="false" outlineLevel="0" collapsed="false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customFormat="false" ht="15.75" hidden="false" customHeight="false" outlineLevel="0" collapsed="false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customFormat="false" ht="15.75" hidden="false" customHeight="false" outlineLevel="0" collapsed="false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customFormat="false" ht="15.75" hidden="false" customHeight="false" outlineLevel="0" collapsed="false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customFormat="false" ht="15.75" hidden="false" customHeight="false" outlineLevel="0" collapsed="false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customFormat="false" ht="15.75" hidden="false" customHeight="false" outlineLevel="0" collapsed="false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customFormat="false" ht="15.75" hidden="false" customHeight="false" outlineLevel="0" collapsed="false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customFormat="false" ht="15.75" hidden="false" customHeight="false" outlineLevel="0" collapsed="false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customFormat="false" ht="15.75" hidden="false" customHeight="false" outlineLevel="0" collapsed="false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customFormat="false" ht="15.75" hidden="false" customHeight="false" outlineLevel="0" collapsed="false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customFormat="false" ht="15.75" hidden="false" customHeight="false" outlineLevel="0" collapsed="false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customFormat="false" ht="15.75" hidden="false" customHeight="false" outlineLevel="0" collapsed="false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customFormat="false" ht="15.75" hidden="false" customHeight="false" outlineLevel="0" collapsed="false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customFormat="false" ht="15.75" hidden="false" customHeight="false" outlineLevel="0" collapsed="false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customFormat="false" ht="15.75" hidden="false" customHeight="false" outlineLevel="0" collapsed="false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customFormat="false" ht="15.75" hidden="false" customHeight="false" outlineLevel="0" collapsed="false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customFormat="false" ht="15.75" hidden="false" customHeight="false" outlineLevel="0" collapsed="false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customFormat="false" ht="15.75" hidden="false" customHeight="false" outlineLevel="0" collapsed="false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customFormat="false" ht="15.75" hidden="false" customHeight="false" outlineLevel="0" collapsed="false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customFormat="false" ht="15.75" hidden="false" customHeight="false" outlineLevel="0" collapsed="false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customFormat="false" ht="15.75" hidden="false" customHeight="false" outlineLevel="0" collapsed="false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customFormat="false" ht="15.75" hidden="false" customHeight="false" outlineLevel="0" collapsed="false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customFormat="false" ht="15.75" hidden="false" customHeight="false" outlineLevel="0" collapsed="false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customFormat="false" ht="15.75" hidden="false" customHeight="false" outlineLevel="0" collapsed="false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customFormat="false" ht="15.75" hidden="false" customHeight="false" outlineLevel="0" collapsed="false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customFormat="false" ht="15.75" hidden="false" customHeight="false" outlineLevel="0" collapsed="false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customFormat="false" ht="15.75" hidden="false" customHeight="false" outlineLevel="0" collapsed="false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customFormat="false" ht="15.75" hidden="false" customHeight="false" outlineLevel="0" collapsed="false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customFormat="false" ht="15.75" hidden="false" customHeight="false" outlineLevel="0" collapsed="false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customFormat="false" ht="15.75" hidden="false" customHeight="false" outlineLevel="0" collapsed="false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customFormat="false" ht="15.75" hidden="false" customHeight="false" outlineLevel="0" collapsed="false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customFormat="false" ht="15.75" hidden="false" customHeight="false" outlineLevel="0" collapsed="false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customFormat="false" ht="15.75" hidden="false" customHeight="false" outlineLevel="0" collapsed="false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customFormat="false" ht="15.75" hidden="false" customHeight="false" outlineLevel="0" collapsed="false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customFormat="false" ht="15.75" hidden="false" customHeight="false" outlineLevel="0" collapsed="false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customFormat="false" ht="15.75" hidden="false" customHeight="false" outlineLevel="0" collapsed="false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customFormat="false" ht="15.75" hidden="false" customHeight="false" outlineLevel="0" collapsed="false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customFormat="false" ht="15.75" hidden="false" customHeight="false" outlineLevel="0" collapsed="false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customFormat="false" ht="15.75" hidden="false" customHeight="false" outlineLevel="0" collapsed="false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customFormat="false" ht="15.75" hidden="false" customHeight="false" outlineLevel="0" collapsed="false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customFormat="false" ht="15.75" hidden="false" customHeight="false" outlineLevel="0" collapsed="false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customFormat="false" ht="15.75" hidden="false" customHeight="false" outlineLevel="0" collapsed="false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customFormat="false" ht="15.75" hidden="false" customHeight="false" outlineLevel="0" collapsed="false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customFormat="false" ht="15.75" hidden="false" customHeight="false" outlineLevel="0" collapsed="false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customFormat="false" ht="15.75" hidden="false" customHeight="false" outlineLevel="0" collapsed="false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customFormat="false" ht="15.75" hidden="false" customHeight="false" outlineLevel="0" collapsed="false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customFormat="false" ht="15.75" hidden="false" customHeight="false" outlineLevel="0" collapsed="false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customFormat="false" ht="15.75" hidden="false" customHeight="false" outlineLevel="0" collapsed="false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customFormat="false" ht="15.75" hidden="false" customHeight="false" outlineLevel="0" collapsed="false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customFormat="false" ht="15.75" hidden="false" customHeight="false" outlineLevel="0" collapsed="false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customFormat="false" ht="15.75" hidden="false" customHeight="false" outlineLevel="0" collapsed="false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customFormat="false" ht="15.75" hidden="false" customHeight="false" outlineLevel="0" collapsed="false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customFormat="false" ht="15.75" hidden="false" customHeight="false" outlineLevel="0" collapsed="false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customFormat="false" ht="15.75" hidden="false" customHeight="false" outlineLevel="0" collapsed="false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customFormat="false" ht="15.75" hidden="false" customHeight="false" outlineLevel="0" collapsed="false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customFormat="false" ht="15.75" hidden="false" customHeight="false" outlineLevel="0" collapsed="false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customFormat="false" ht="15.75" hidden="false" customHeight="false" outlineLevel="0" collapsed="false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customFormat="false" ht="15.75" hidden="false" customHeight="false" outlineLevel="0" collapsed="false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customFormat="false" ht="15.75" hidden="false" customHeight="false" outlineLevel="0" collapsed="false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customFormat="false" ht="15.75" hidden="false" customHeight="false" outlineLevel="0" collapsed="false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customFormat="false" ht="15.75" hidden="false" customHeight="false" outlineLevel="0" collapsed="false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customFormat="false" ht="15.75" hidden="false" customHeight="false" outlineLevel="0" collapsed="false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customFormat="false" ht="15.75" hidden="false" customHeight="false" outlineLevel="0" collapsed="false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customFormat="false" ht="15.75" hidden="false" customHeight="false" outlineLevel="0" collapsed="false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customFormat="false" ht="15.75" hidden="false" customHeight="false" outlineLevel="0" collapsed="false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customFormat="false" ht="15.75" hidden="false" customHeight="false" outlineLevel="0" collapsed="false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customFormat="false" ht="15.75" hidden="false" customHeight="false" outlineLevel="0" collapsed="false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customFormat="false" ht="15.75" hidden="false" customHeight="false" outlineLevel="0" collapsed="false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customFormat="false" ht="15.75" hidden="false" customHeight="false" outlineLevel="0" collapsed="false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customFormat="false" ht="15.75" hidden="false" customHeight="false" outlineLevel="0" collapsed="false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customFormat="false" ht="15.75" hidden="false" customHeight="false" outlineLevel="0" collapsed="false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customFormat="false" ht="15.75" hidden="false" customHeight="false" outlineLevel="0" collapsed="false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customFormat="false" ht="15.75" hidden="false" customHeight="false" outlineLevel="0" collapsed="false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customFormat="false" ht="15.75" hidden="false" customHeight="false" outlineLevel="0" collapsed="false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customFormat="false" ht="15.75" hidden="false" customHeight="false" outlineLevel="0" collapsed="false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customFormat="false" ht="15.75" hidden="false" customHeight="false" outlineLevel="0" collapsed="false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customFormat="false" ht="15.75" hidden="false" customHeight="false" outlineLevel="0" collapsed="false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customFormat="false" ht="15.75" hidden="false" customHeight="false" outlineLevel="0" collapsed="false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customFormat="false" ht="15.75" hidden="false" customHeight="false" outlineLevel="0" collapsed="false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customFormat="false" ht="15.75" hidden="false" customHeight="false" outlineLevel="0" collapsed="false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customFormat="false" ht="15.75" hidden="false" customHeight="false" outlineLevel="0" collapsed="false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customFormat="false" ht="15.75" hidden="false" customHeight="false" outlineLevel="0" collapsed="false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customFormat="false" ht="15.75" hidden="false" customHeight="false" outlineLevel="0" collapsed="false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customFormat="false" ht="15.75" hidden="false" customHeight="false" outlineLevel="0" collapsed="false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customFormat="false" ht="15.75" hidden="false" customHeight="false" outlineLevel="0" collapsed="false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customFormat="false" ht="15.75" hidden="false" customHeight="false" outlineLevel="0" collapsed="false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customFormat="false" ht="15.75" hidden="false" customHeight="false" outlineLevel="0" collapsed="false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customFormat="false" ht="15.75" hidden="false" customHeight="false" outlineLevel="0" collapsed="false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customFormat="false" ht="15.75" hidden="false" customHeight="false" outlineLevel="0" collapsed="false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customFormat="false" ht="15.75" hidden="false" customHeight="false" outlineLevel="0" collapsed="false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customFormat="false" ht="15.75" hidden="false" customHeight="false" outlineLevel="0" collapsed="false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customFormat="false" ht="15.75" hidden="false" customHeight="false" outlineLevel="0" collapsed="false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customFormat="false" ht="15.75" hidden="false" customHeight="false" outlineLevel="0" collapsed="false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customFormat="false" ht="15.75" hidden="false" customHeight="false" outlineLevel="0" collapsed="false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customFormat="false" ht="15.75" hidden="false" customHeight="false" outlineLevel="0" collapsed="false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customFormat="false" ht="15.75" hidden="false" customHeight="false" outlineLevel="0" collapsed="false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customFormat="false" ht="15.75" hidden="false" customHeight="false" outlineLevel="0" collapsed="false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customFormat="false" ht="15.75" hidden="false" customHeight="false" outlineLevel="0" collapsed="false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customFormat="false" ht="15.75" hidden="false" customHeight="false" outlineLevel="0" collapsed="false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customFormat="false" ht="15.75" hidden="false" customHeight="false" outlineLevel="0" collapsed="false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customFormat="false" ht="15.75" hidden="false" customHeight="false" outlineLevel="0" collapsed="false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customFormat="false" ht="15.75" hidden="false" customHeight="false" outlineLevel="0" collapsed="false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customFormat="false" ht="15.75" hidden="false" customHeight="false" outlineLevel="0" collapsed="false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customFormat="false" ht="15.75" hidden="false" customHeight="false" outlineLevel="0" collapsed="false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customFormat="false" ht="15.75" hidden="false" customHeight="false" outlineLevel="0" collapsed="false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customFormat="false" ht="15.75" hidden="false" customHeight="false" outlineLevel="0" collapsed="false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customFormat="false" ht="15.75" hidden="false" customHeight="false" outlineLevel="0" collapsed="false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customFormat="false" ht="15.75" hidden="false" customHeight="false" outlineLevel="0" collapsed="false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customFormat="false" ht="15.75" hidden="false" customHeight="false" outlineLevel="0" collapsed="false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customFormat="false" ht="15.75" hidden="false" customHeight="false" outlineLevel="0" collapsed="false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customFormat="false" ht="15.75" hidden="false" customHeight="false" outlineLevel="0" collapsed="false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customFormat="false" ht="15.75" hidden="false" customHeight="false" outlineLevel="0" collapsed="false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customFormat="false" ht="15.75" hidden="false" customHeight="false" outlineLevel="0" collapsed="false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customFormat="false" ht="15.75" hidden="false" customHeight="false" outlineLevel="0" collapsed="false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customFormat="false" ht="15.75" hidden="false" customHeight="false" outlineLevel="0" collapsed="false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customFormat="false" ht="15.75" hidden="false" customHeight="false" outlineLevel="0" collapsed="false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customFormat="false" ht="15.75" hidden="false" customHeight="false" outlineLevel="0" collapsed="false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customFormat="false" ht="15.75" hidden="false" customHeight="false" outlineLevel="0" collapsed="false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customFormat="false" ht="15.75" hidden="false" customHeight="false" outlineLevel="0" collapsed="false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customFormat="false" ht="15.75" hidden="false" customHeight="false" outlineLevel="0" collapsed="false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customFormat="false" ht="15.75" hidden="false" customHeight="false" outlineLevel="0" collapsed="false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customFormat="false" ht="15.75" hidden="false" customHeight="false" outlineLevel="0" collapsed="false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customFormat="false" ht="15.75" hidden="false" customHeight="false" outlineLevel="0" collapsed="false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customFormat="false" ht="15.75" hidden="false" customHeight="false" outlineLevel="0" collapsed="false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customFormat="false" ht="15.75" hidden="false" customHeight="false" outlineLevel="0" collapsed="false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customFormat="false" ht="15.75" hidden="false" customHeight="false" outlineLevel="0" collapsed="false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customFormat="false" ht="15.75" hidden="false" customHeight="false" outlineLevel="0" collapsed="false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customFormat="false" ht="15.75" hidden="false" customHeight="false" outlineLevel="0" collapsed="false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customFormat="false" ht="15.75" hidden="false" customHeight="false" outlineLevel="0" collapsed="false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customFormat="false" ht="15.75" hidden="false" customHeight="false" outlineLevel="0" collapsed="false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customFormat="false" ht="15.75" hidden="false" customHeight="false" outlineLevel="0" collapsed="false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customFormat="false" ht="15.75" hidden="false" customHeight="false" outlineLevel="0" collapsed="false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customFormat="false" ht="15.75" hidden="false" customHeight="false" outlineLevel="0" collapsed="false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customFormat="false" ht="15.75" hidden="false" customHeight="false" outlineLevel="0" collapsed="false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customFormat="false" ht="15.75" hidden="false" customHeight="false" outlineLevel="0" collapsed="false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customFormat="false" ht="15.75" hidden="false" customHeight="false" outlineLevel="0" collapsed="false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customFormat="false" ht="15.75" hidden="false" customHeight="false" outlineLevel="0" collapsed="false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customFormat="false" ht="15.75" hidden="false" customHeight="false" outlineLevel="0" collapsed="false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customFormat="false" ht="15.75" hidden="false" customHeight="false" outlineLevel="0" collapsed="false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customFormat="false" ht="15.75" hidden="false" customHeight="false" outlineLevel="0" collapsed="false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customFormat="false" ht="15.75" hidden="false" customHeight="false" outlineLevel="0" collapsed="false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customFormat="false" ht="15.75" hidden="false" customHeight="false" outlineLevel="0" collapsed="false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customFormat="false" ht="15.75" hidden="false" customHeight="false" outlineLevel="0" collapsed="false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customFormat="false" ht="15.75" hidden="false" customHeight="false" outlineLevel="0" collapsed="false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customFormat="false" ht="15.75" hidden="false" customHeight="false" outlineLevel="0" collapsed="false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customFormat="false" ht="15.75" hidden="false" customHeight="false" outlineLevel="0" collapsed="false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customFormat="false" ht="15.75" hidden="false" customHeight="false" outlineLevel="0" collapsed="false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customFormat="false" ht="15.75" hidden="false" customHeight="false" outlineLevel="0" collapsed="false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customFormat="false" ht="15.75" hidden="false" customHeight="false" outlineLevel="0" collapsed="false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customFormat="false" ht="15.75" hidden="false" customHeight="false" outlineLevel="0" collapsed="false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customFormat="false" ht="15.75" hidden="false" customHeight="false" outlineLevel="0" collapsed="false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customFormat="false" ht="15.75" hidden="false" customHeight="false" outlineLevel="0" collapsed="false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customFormat="false" ht="15.75" hidden="false" customHeight="false" outlineLevel="0" collapsed="false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customFormat="false" ht="15.75" hidden="false" customHeight="false" outlineLevel="0" collapsed="false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customFormat="false" ht="15.75" hidden="false" customHeight="false" outlineLevel="0" collapsed="false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customFormat="false" ht="15.75" hidden="false" customHeight="false" outlineLevel="0" collapsed="false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customFormat="false" ht="15.75" hidden="false" customHeight="false" outlineLevel="0" collapsed="false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customFormat="false" ht="15.75" hidden="false" customHeight="false" outlineLevel="0" collapsed="false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customFormat="false" ht="15.75" hidden="false" customHeight="false" outlineLevel="0" collapsed="false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customFormat="false" ht="15.75" hidden="false" customHeight="false" outlineLevel="0" collapsed="false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customFormat="false" ht="15.75" hidden="false" customHeight="false" outlineLevel="0" collapsed="false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customFormat="false" ht="15.75" hidden="false" customHeight="false" outlineLevel="0" collapsed="false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customFormat="false" ht="15.75" hidden="false" customHeight="false" outlineLevel="0" collapsed="false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customFormat="false" ht="15.75" hidden="false" customHeight="false" outlineLevel="0" collapsed="false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customFormat="false" ht="15.75" hidden="false" customHeight="false" outlineLevel="0" collapsed="false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customFormat="false" ht="15.75" hidden="false" customHeight="false" outlineLevel="0" collapsed="false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customFormat="false" ht="15.75" hidden="false" customHeight="false" outlineLevel="0" collapsed="false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customFormat="false" ht="15.75" hidden="false" customHeight="false" outlineLevel="0" collapsed="false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customFormat="false" ht="15.75" hidden="false" customHeight="false" outlineLevel="0" collapsed="false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customFormat="false" ht="15.75" hidden="false" customHeight="false" outlineLevel="0" collapsed="false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customFormat="false" ht="15.75" hidden="false" customHeight="false" outlineLevel="0" collapsed="false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customFormat="false" ht="15.75" hidden="false" customHeight="false" outlineLevel="0" collapsed="false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customFormat="false" ht="15.75" hidden="false" customHeight="false" outlineLevel="0" collapsed="false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customFormat="false" ht="15.75" hidden="false" customHeight="false" outlineLevel="0" collapsed="false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customFormat="false" ht="15.75" hidden="false" customHeight="false" outlineLevel="0" collapsed="false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customFormat="false" ht="15.75" hidden="false" customHeight="false" outlineLevel="0" collapsed="false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customFormat="false" ht="15.75" hidden="false" customHeight="false" outlineLevel="0" collapsed="false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customFormat="false" ht="15.75" hidden="false" customHeight="false" outlineLevel="0" collapsed="false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customFormat="false" ht="15.75" hidden="false" customHeight="false" outlineLevel="0" collapsed="false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customFormat="false" ht="15.75" hidden="false" customHeight="false" outlineLevel="0" collapsed="false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customFormat="false" ht="15.75" hidden="false" customHeight="false" outlineLevel="0" collapsed="false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customFormat="false" ht="15.75" hidden="false" customHeight="false" outlineLevel="0" collapsed="false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customFormat="false" ht="15.75" hidden="false" customHeight="false" outlineLevel="0" collapsed="false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customFormat="false" ht="15.75" hidden="false" customHeight="false" outlineLevel="0" collapsed="false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customFormat="false" ht="15.75" hidden="false" customHeight="false" outlineLevel="0" collapsed="false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customFormat="false" ht="15.75" hidden="false" customHeight="false" outlineLevel="0" collapsed="false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customFormat="false" ht="15.75" hidden="false" customHeight="false" outlineLevel="0" collapsed="false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customFormat="false" ht="15.75" hidden="false" customHeight="false" outlineLevel="0" collapsed="false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customFormat="false" ht="15.75" hidden="false" customHeight="false" outlineLevel="0" collapsed="false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customFormat="false" ht="15.75" hidden="false" customHeight="false" outlineLevel="0" collapsed="false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customFormat="false" ht="15.75" hidden="false" customHeight="false" outlineLevel="0" collapsed="false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customFormat="false" ht="15.75" hidden="false" customHeight="false" outlineLevel="0" collapsed="false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customFormat="false" ht="15.75" hidden="false" customHeight="false" outlineLevel="0" collapsed="false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customFormat="false" ht="15.75" hidden="false" customHeight="false" outlineLevel="0" collapsed="false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customFormat="false" ht="15.75" hidden="false" customHeight="false" outlineLevel="0" collapsed="false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customFormat="false" ht="15.75" hidden="false" customHeight="false" outlineLevel="0" collapsed="false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customFormat="false" ht="15.75" hidden="false" customHeight="false" outlineLevel="0" collapsed="false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customFormat="false" ht="15.75" hidden="false" customHeight="false" outlineLevel="0" collapsed="false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customFormat="false" ht="15.75" hidden="false" customHeight="false" outlineLevel="0" collapsed="false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customFormat="false" ht="15.75" hidden="false" customHeight="false" outlineLevel="0" collapsed="false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customFormat="false" ht="15.75" hidden="false" customHeight="false" outlineLevel="0" collapsed="false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customFormat="false" ht="15.75" hidden="false" customHeight="false" outlineLevel="0" collapsed="false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customFormat="false" ht="15.75" hidden="false" customHeight="false" outlineLevel="0" collapsed="false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customFormat="false" ht="15.75" hidden="false" customHeight="false" outlineLevel="0" collapsed="false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customFormat="false" ht="15.75" hidden="false" customHeight="false" outlineLevel="0" collapsed="false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customFormat="false" ht="15.75" hidden="false" customHeight="false" outlineLevel="0" collapsed="false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customFormat="false" ht="15.75" hidden="false" customHeight="false" outlineLevel="0" collapsed="false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customFormat="false" ht="15.75" hidden="false" customHeight="false" outlineLevel="0" collapsed="false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customFormat="false" ht="15.75" hidden="false" customHeight="false" outlineLevel="0" collapsed="false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customFormat="false" ht="15.75" hidden="false" customHeight="false" outlineLevel="0" collapsed="false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customFormat="false" ht="15.75" hidden="false" customHeight="false" outlineLevel="0" collapsed="false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customFormat="false" ht="15.75" hidden="false" customHeight="false" outlineLevel="0" collapsed="false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customFormat="false" ht="15.75" hidden="false" customHeight="false" outlineLevel="0" collapsed="false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customFormat="false" ht="15.75" hidden="false" customHeight="false" outlineLevel="0" collapsed="false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customFormat="false" ht="15.75" hidden="false" customHeight="false" outlineLevel="0" collapsed="false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customFormat="false" ht="15.75" hidden="false" customHeight="false" outlineLevel="0" collapsed="false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customFormat="false" ht="15.75" hidden="false" customHeight="false" outlineLevel="0" collapsed="false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customFormat="false" ht="15.75" hidden="false" customHeight="false" outlineLevel="0" collapsed="false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customFormat="false" ht="15.75" hidden="false" customHeight="false" outlineLevel="0" collapsed="false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customFormat="false" ht="15.75" hidden="false" customHeight="false" outlineLevel="0" collapsed="false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customFormat="false" ht="15.75" hidden="false" customHeight="false" outlineLevel="0" collapsed="false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customFormat="false" ht="15.75" hidden="false" customHeight="false" outlineLevel="0" collapsed="false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customFormat="false" ht="15.75" hidden="false" customHeight="false" outlineLevel="0" collapsed="false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customFormat="false" ht="15.75" hidden="false" customHeight="false" outlineLevel="0" collapsed="false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customFormat="false" ht="15.75" hidden="false" customHeight="false" outlineLevel="0" collapsed="false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customFormat="false" ht="15.75" hidden="false" customHeight="false" outlineLevel="0" collapsed="false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customFormat="false" ht="15.75" hidden="false" customHeight="false" outlineLevel="0" collapsed="false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customFormat="false" ht="15.75" hidden="false" customHeight="false" outlineLevel="0" collapsed="false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customFormat="false" ht="15.75" hidden="false" customHeight="false" outlineLevel="0" collapsed="false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customFormat="false" ht="15.75" hidden="false" customHeight="false" outlineLevel="0" collapsed="false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customFormat="false" ht="15.75" hidden="false" customHeight="false" outlineLevel="0" collapsed="false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customFormat="false" ht="15.75" hidden="false" customHeight="false" outlineLevel="0" collapsed="false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customFormat="false" ht="15.75" hidden="false" customHeight="false" outlineLevel="0" collapsed="false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customFormat="false" ht="15.75" hidden="false" customHeight="false" outlineLevel="0" collapsed="false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customFormat="false" ht="15.75" hidden="false" customHeight="false" outlineLevel="0" collapsed="false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customFormat="false" ht="15.75" hidden="false" customHeight="false" outlineLevel="0" collapsed="false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customFormat="false" ht="15.75" hidden="false" customHeight="false" outlineLevel="0" collapsed="false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customFormat="false" ht="15.75" hidden="false" customHeight="false" outlineLevel="0" collapsed="false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customFormat="false" ht="15.75" hidden="false" customHeight="false" outlineLevel="0" collapsed="false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customFormat="false" ht="15.75" hidden="false" customHeight="false" outlineLevel="0" collapsed="false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customFormat="false" ht="15.75" hidden="false" customHeight="false" outlineLevel="0" collapsed="false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customFormat="false" ht="15.75" hidden="false" customHeight="false" outlineLevel="0" collapsed="false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customFormat="false" ht="15.75" hidden="false" customHeight="false" outlineLevel="0" collapsed="false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customFormat="false" ht="15.75" hidden="false" customHeight="false" outlineLevel="0" collapsed="false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customFormat="false" ht="15.75" hidden="false" customHeight="false" outlineLevel="0" collapsed="false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customFormat="false" ht="15.75" hidden="false" customHeight="false" outlineLevel="0" collapsed="false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customFormat="false" ht="15.75" hidden="false" customHeight="false" outlineLevel="0" collapsed="false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customFormat="false" ht="15.75" hidden="false" customHeight="false" outlineLevel="0" collapsed="false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customFormat="false" ht="15.75" hidden="false" customHeight="false" outlineLevel="0" collapsed="false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customFormat="false" ht="15.75" hidden="false" customHeight="false" outlineLevel="0" collapsed="false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customFormat="false" ht="15.75" hidden="false" customHeight="false" outlineLevel="0" collapsed="false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customFormat="false" ht="15.75" hidden="false" customHeight="false" outlineLevel="0" collapsed="false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customFormat="false" ht="15.75" hidden="false" customHeight="false" outlineLevel="0" collapsed="false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customFormat="false" ht="15.75" hidden="false" customHeight="false" outlineLevel="0" collapsed="false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customFormat="false" ht="15.75" hidden="false" customHeight="false" outlineLevel="0" collapsed="false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customFormat="false" ht="15.75" hidden="false" customHeight="false" outlineLevel="0" collapsed="false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customFormat="false" ht="15.75" hidden="false" customHeight="false" outlineLevel="0" collapsed="false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customFormat="false" ht="15.75" hidden="false" customHeight="false" outlineLevel="0" collapsed="false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customFormat="false" ht="15.75" hidden="false" customHeight="false" outlineLevel="0" collapsed="false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customFormat="false" ht="15.75" hidden="false" customHeight="false" outlineLevel="0" collapsed="false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customFormat="false" ht="15.75" hidden="false" customHeight="false" outlineLevel="0" collapsed="false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customFormat="false" ht="15.75" hidden="false" customHeight="false" outlineLevel="0" collapsed="false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customFormat="false" ht="15.75" hidden="false" customHeight="false" outlineLevel="0" collapsed="false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customFormat="false" ht="15.75" hidden="false" customHeight="false" outlineLevel="0" collapsed="false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customFormat="false" ht="15.75" hidden="false" customHeight="false" outlineLevel="0" collapsed="false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customFormat="false" ht="15.75" hidden="false" customHeight="false" outlineLevel="0" collapsed="false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customFormat="false" ht="15.75" hidden="false" customHeight="false" outlineLevel="0" collapsed="false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customFormat="false" ht="15.75" hidden="false" customHeight="false" outlineLevel="0" collapsed="false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customFormat="false" ht="15.75" hidden="false" customHeight="false" outlineLevel="0" collapsed="false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customFormat="false" ht="15.75" hidden="false" customHeight="false" outlineLevel="0" collapsed="false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customFormat="false" ht="15.75" hidden="false" customHeight="false" outlineLevel="0" collapsed="false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customFormat="false" ht="15.75" hidden="false" customHeight="false" outlineLevel="0" collapsed="false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customFormat="false" ht="15.75" hidden="false" customHeight="false" outlineLevel="0" collapsed="false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customFormat="false" ht="15.75" hidden="false" customHeight="false" outlineLevel="0" collapsed="false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customFormat="false" ht="15.75" hidden="false" customHeight="false" outlineLevel="0" collapsed="false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customFormat="false" ht="15.75" hidden="false" customHeight="false" outlineLevel="0" collapsed="false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customFormat="false" ht="15.75" hidden="false" customHeight="false" outlineLevel="0" collapsed="false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customFormat="false" ht="15.75" hidden="false" customHeight="false" outlineLevel="0" collapsed="false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customFormat="false" ht="15.75" hidden="false" customHeight="false" outlineLevel="0" collapsed="false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customFormat="false" ht="15.75" hidden="false" customHeight="false" outlineLevel="0" collapsed="false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customFormat="false" ht="15.75" hidden="false" customHeight="false" outlineLevel="0" collapsed="false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customFormat="false" ht="15.75" hidden="false" customHeight="false" outlineLevel="0" collapsed="false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customFormat="false" ht="15.75" hidden="false" customHeight="false" outlineLevel="0" collapsed="false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customFormat="false" ht="15.75" hidden="false" customHeight="false" outlineLevel="0" collapsed="false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customFormat="false" ht="15.75" hidden="false" customHeight="false" outlineLevel="0" collapsed="false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customFormat="false" ht="15.75" hidden="false" customHeight="false" outlineLevel="0" collapsed="false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customFormat="false" ht="15.75" hidden="false" customHeight="false" outlineLevel="0" collapsed="false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customFormat="false" ht="15.75" hidden="false" customHeight="false" outlineLevel="0" collapsed="false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customFormat="false" ht="15.75" hidden="false" customHeight="false" outlineLevel="0" collapsed="false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customFormat="false" ht="15.75" hidden="false" customHeight="false" outlineLevel="0" collapsed="false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customFormat="false" ht="15.75" hidden="false" customHeight="false" outlineLevel="0" collapsed="false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customFormat="false" ht="15.75" hidden="false" customHeight="false" outlineLevel="0" collapsed="false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customFormat="false" ht="15.75" hidden="false" customHeight="false" outlineLevel="0" collapsed="false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customFormat="false" ht="15.75" hidden="false" customHeight="false" outlineLevel="0" collapsed="false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customFormat="false" ht="15.75" hidden="false" customHeight="false" outlineLevel="0" collapsed="false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customFormat="false" ht="15.75" hidden="false" customHeight="false" outlineLevel="0" collapsed="false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customFormat="false" ht="15.75" hidden="false" customHeight="false" outlineLevel="0" collapsed="false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customFormat="false" ht="15.75" hidden="false" customHeight="false" outlineLevel="0" collapsed="false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customFormat="false" ht="15.75" hidden="false" customHeight="false" outlineLevel="0" collapsed="false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customFormat="false" ht="15.75" hidden="false" customHeight="false" outlineLevel="0" collapsed="false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customFormat="false" ht="15.75" hidden="false" customHeight="false" outlineLevel="0" collapsed="false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customFormat="false" ht="15.75" hidden="false" customHeight="false" outlineLevel="0" collapsed="false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customFormat="false" ht="15.75" hidden="false" customHeight="false" outlineLevel="0" collapsed="false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customFormat="false" ht="15.75" hidden="false" customHeight="false" outlineLevel="0" collapsed="false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customFormat="false" ht="15.75" hidden="false" customHeight="false" outlineLevel="0" collapsed="false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customFormat="false" ht="15.75" hidden="false" customHeight="false" outlineLevel="0" collapsed="false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customFormat="false" ht="15.75" hidden="false" customHeight="false" outlineLevel="0" collapsed="false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customFormat="false" ht="15.75" hidden="false" customHeight="false" outlineLevel="0" collapsed="false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customFormat="false" ht="15.75" hidden="false" customHeight="false" outlineLevel="0" collapsed="false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customFormat="false" ht="15.75" hidden="false" customHeight="false" outlineLevel="0" collapsed="false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customFormat="false" ht="15.75" hidden="false" customHeight="false" outlineLevel="0" collapsed="false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customFormat="false" ht="15.75" hidden="false" customHeight="false" outlineLevel="0" collapsed="false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customFormat="false" ht="15.75" hidden="false" customHeight="false" outlineLevel="0" collapsed="false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customFormat="false" ht="15.75" hidden="false" customHeight="false" outlineLevel="0" collapsed="false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customFormat="false" ht="15.75" hidden="false" customHeight="false" outlineLevel="0" collapsed="false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customFormat="false" ht="15.75" hidden="false" customHeight="false" outlineLevel="0" collapsed="false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customFormat="false" ht="15.75" hidden="false" customHeight="false" outlineLevel="0" collapsed="false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customFormat="false" ht="15.75" hidden="false" customHeight="false" outlineLevel="0" collapsed="false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customFormat="false" ht="15.75" hidden="false" customHeight="false" outlineLevel="0" collapsed="false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customFormat="false" ht="15.75" hidden="false" customHeight="false" outlineLevel="0" collapsed="false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customFormat="false" ht="15.75" hidden="false" customHeight="false" outlineLevel="0" collapsed="false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customFormat="false" ht="15.75" hidden="false" customHeight="false" outlineLevel="0" collapsed="false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customFormat="false" ht="15.75" hidden="false" customHeight="false" outlineLevel="0" collapsed="false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customFormat="false" ht="15.75" hidden="false" customHeight="false" outlineLevel="0" collapsed="false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customFormat="false" ht="15.75" hidden="false" customHeight="false" outlineLevel="0" collapsed="false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customFormat="false" ht="15.75" hidden="false" customHeight="false" outlineLevel="0" collapsed="false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customFormat="false" ht="15.75" hidden="false" customHeight="false" outlineLevel="0" collapsed="false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customFormat="false" ht="15.75" hidden="false" customHeight="false" outlineLevel="0" collapsed="false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customFormat="false" ht="15.75" hidden="false" customHeight="false" outlineLevel="0" collapsed="false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customFormat="false" ht="15.75" hidden="false" customHeight="false" outlineLevel="0" collapsed="false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customFormat="false" ht="15.75" hidden="false" customHeight="false" outlineLevel="0" collapsed="false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customFormat="false" ht="15.75" hidden="false" customHeight="false" outlineLevel="0" collapsed="false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customFormat="false" ht="15.75" hidden="false" customHeight="false" outlineLevel="0" collapsed="false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customFormat="false" ht="15.75" hidden="false" customHeight="false" outlineLevel="0" collapsed="false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customFormat="false" ht="15.75" hidden="false" customHeight="false" outlineLevel="0" collapsed="false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customFormat="false" ht="15.75" hidden="false" customHeight="false" outlineLevel="0" collapsed="false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customFormat="false" ht="15.75" hidden="false" customHeight="false" outlineLevel="0" collapsed="false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customFormat="false" ht="15.75" hidden="false" customHeight="false" outlineLevel="0" collapsed="false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customFormat="false" ht="15.75" hidden="false" customHeight="false" outlineLevel="0" collapsed="false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customFormat="false" ht="15.75" hidden="false" customHeight="false" outlineLevel="0" collapsed="false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customFormat="false" ht="15.75" hidden="false" customHeight="false" outlineLevel="0" collapsed="false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customFormat="false" ht="15.75" hidden="false" customHeight="false" outlineLevel="0" collapsed="false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customFormat="false" ht="15.75" hidden="false" customHeight="false" outlineLevel="0" collapsed="false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customFormat="false" ht="15.75" hidden="false" customHeight="false" outlineLevel="0" collapsed="false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customFormat="false" ht="15.75" hidden="false" customHeight="false" outlineLevel="0" collapsed="false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customFormat="false" ht="15.75" hidden="false" customHeight="false" outlineLevel="0" collapsed="false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customFormat="false" ht="15.75" hidden="false" customHeight="false" outlineLevel="0" collapsed="false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customFormat="false" ht="15.75" hidden="false" customHeight="false" outlineLevel="0" collapsed="false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customFormat="false" ht="15.75" hidden="false" customHeight="false" outlineLevel="0" collapsed="false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customFormat="false" ht="15.75" hidden="false" customHeight="false" outlineLevel="0" collapsed="false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customFormat="false" ht="15.75" hidden="false" customHeight="false" outlineLevel="0" collapsed="false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customFormat="false" ht="15.75" hidden="false" customHeight="false" outlineLevel="0" collapsed="false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customFormat="false" ht="15.75" hidden="false" customHeight="false" outlineLevel="0" collapsed="false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customFormat="false" ht="15.75" hidden="false" customHeight="false" outlineLevel="0" collapsed="false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customFormat="false" ht="15.75" hidden="false" customHeight="false" outlineLevel="0" collapsed="false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customFormat="false" ht="15.75" hidden="false" customHeight="false" outlineLevel="0" collapsed="false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customFormat="false" ht="15.75" hidden="false" customHeight="false" outlineLevel="0" collapsed="false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customFormat="false" ht="15.75" hidden="false" customHeight="false" outlineLevel="0" collapsed="false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customFormat="false" ht="15.75" hidden="false" customHeight="false" outlineLevel="0" collapsed="false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customFormat="false" ht="15.75" hidden="false" customHeight="false" outlineLevel="0" collapsed="false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customFormat="false" ht="15.75" hidden="false" customHeight="false" outlineLevel="0" collapsed="false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customFormat="false" ht="15.75" hidden="false" customHeight="false" outlineLevel="0" collapsed="false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customFormat="false" ht="15.75" hidden="false" customHeight="false" outlineLevel="0" collapsed="false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customFormat="false" ht="15.75" hidden="false" customHeight="false" outlineLevel="0" collapsed="false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customFormat="false" ht="15.75" hidden="false" customHeight="false" outlineLevel="0" collapsed="false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customFormat="false" ht="15.75" hidden="false" customHeight="false" outlineLevel="0" collapsed="false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customFormat="false" ht="15.75" hidden="false" customHeight="false" outlineLevel="0" collapsed="false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customFormat="false" ht="15.75" hidden="false" customHeight="false" outlineLevel="0" collapsed="false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customFormat="false" ht="15.75" hidden="false" customHeight="false" outlineLevel="0" collapsed="false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customFormat="false" ht="15.75" hidden="false" customHeight="false" outlineLevel="0" collapsed="false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customFormat="false" ht="15.75" hidden="false" customHeight="false" outlineLevel="0" collapsed="false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customFormat="false" ht="15.75" hidden="false" customHeight="false" outlineLevel="0" collapsed="false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customFormat="false" ht="15.75" hidden="false" customHeight="false" outlineLevel="0" collapsed="false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customFormat="false" ht="15.75" hidden="false" customHeight="false" outlineLevel="0" collapsed="false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customFormat="false" ht="15.75" hidden="false" customHeight="false" outlineLevel="0" collapsed="false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customFormat="false" ht="15.75" hidden="false" customHeight="false" outlineLevel="0" collapsed="false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customFormat="false" ht="15.75" hidden="false" customHeight="false" outlineLevel="0" collapsed="false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customFormat="false" ht="15.75" hidden="false" customHeight="false" outlineLevel="0" collapsed="false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customFormat="false" ht="15.75" hidden="false" customHeight="false" outlineLevel="0" collapsed="false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customFormat="false" ht="15.75" hidden="false" customHeight="false" outlineLevel="0" collapsed="false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customFormat="false" ht="15.75" hidden="false" customHeight="false" outlineLevel="0" collapsed="false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customFormat="false" ht="15.75" hidden="false" customHeight="false" outlineLevel="0" collapsed="false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customFormat="false" ht="15.75" hidden="false" customHeight="false" outlineLevel="0" collapsed="false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customFormat="false" ht="15.75" hidden="false" customHeight="false" outlineLevel="0" collapsed="false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customFormat="false" ht="15.75" hidden="false" customHeight="false" outlineLevel="0" collapsed="false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customFormat="false" ht="15.75" hidden="false" customHeight="false" outlineLevel="0" collapsed="false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customFormat="false" ht="15.75" hidden="false" customHeight="false" outlineLevel="0" collapsed="false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customFormat="false" ht="15.75" hidden="false" customHeight="false" outlineLevel="0" collapsed="false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customFormat="false" ht="15.75" hidden="false" customHeight="false" outlineLevel="0" collapsed="false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customFormat="false" ht="15.75" hidden="false" customHeight="false" outlineLevel="0" collapsed="false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customFormat="false" ht="15.75" hidden="false" customHeight="false" outlineLevel="0" collapsed="false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customFormat="false" ht="15.75" hidden="false" customHeight="false" outlineLevel="0" collapsed="false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customFormat="false" ht="15.75" hidden="false" customHeight="false" outlineLevel="0" collapsed="false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customFormat="false" ht="15.75" hidden="false" customHeight="false" outlineLevel="0" collapsed="false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customFormat="false" ht="15.75" hidden="false" customHeight="false" outlineLevel="0" collapsed="false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customFormat="false" ht="15.75" hidden="false" customHeight="false" outlineLevel="0" collapsed="false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customFormat="false" ht="15.75" hidden="false" customHeight="false" outlineLevel="0" collapsed="false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customFormat="false" ht="15.75" hidden="false" customHeight="false" outlineLevel="0" collapsed="false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customFormat="false" ht="15.75" hidden="false" customHeight="false" outlineLevel="0" collapsed="false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customFormat="false" ht="15.75" hidden="false" customHeight="false" outlineLevel="0" collapsed="false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customFormat="false" ht="15.75" hidden="false" customHeight="false" outlineLevel="0" collapsed="false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customFormat="false" ht="15.75" hidden="false" customHeight="false" outlineLevel="0" collapsed="false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customFormat="false" ht="15.75" hidden="false" customHeight="false" outlineLevel="0" collapsed="false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customFormat="false" ht="15.75" hidden="false" customHeight="false" outlineLevel="0" collapsed="false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customFormat="false" ht="15.75" hidden="false" customHeight="false" outlineLevel="0" collapsed="false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customFormat="false" ht="15.75" hidden="false" customHeight="false" outlineLevel="0" collapsed="false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customFormat="false" ht="15.75" hidden="false" customHeight="false" outlineLevel="0" collapsed="false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customFormat="false" ht="15.75" hidden="false" customHeight="false" outlineLevel="0" collapsed="false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customFormat="false" ht="15.75" hidden="false" customHeight="false" outlineLevel="0" collapsed="false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customFormat="false" ht="15.75" hidden="false" customHeight="false" outlineLevel="0" collapsed="false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customFormat="false" ht="15.75" hidden="false" customHeight="false" outlineLevel="0" collapsed="false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customFormat="false" ht="15.75" hidden="false" customHeight="false" outlineLevel="0" collapsed="false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customFormat="false" ht="15.75" hidden="false" customHeight="false" outlineLevel="0" collapsed="false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customFormat="false" ht="15.75" hidden="false" customHeight="false" outlineLevel="0" collapsed="false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customFormat="false" ht="15.75" hidden="false" customHeight="false" outlineLevel="0" collapsed="false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customFormat="false" ht="15.75" hidden="false" customHeight="false" outlineLevel="0" collapsed="false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customFormat="false" ht="15.75" hidden="false" customHeight="false" outlineLevel="0" collapsed="false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customFormat="false" ht="15.75" hidden="false" customHeight="false" outlineLevel="0" collapsed="false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customFormat="false" ht="15.75" hidden="false" customHeight="false" outlineLevel="0" collapsed="false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customFormat="false" ht="15.75" hidden="false" customHeight="false" outlineLevel="0" collapsed="false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customFormat="false" ht="15.75" hidden="false" customHeight="false" outlineLevel="0" collapsed="false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customFormat="false" ht="15.75" hidden="false" customHeight="false" outlineLevel="0" collapsed="false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customFormat="false" ht="15.75" hidden="false" customHeight="false" outlineLevel="0" collapsed="false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customFormat="false" ht="15.75" hidden="false" customHeight="false" outlineLevel="0" collapsed="false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customFormat="false" ht="15.75" hidden="false" customHeight="false" outlineLevel="0" collapsed="false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customFormat="false" ht="15.75" hidden="false" customHeight="false" outlineLevel="0" collapsed="false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customFormat="false" ht="15.75" hidden="false" customHeight="false" outlineLevel="0" collapsed="false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customFormat="false" ht="15.75" hidden="false" customHeight="false" outlineLevel="0" collapsed="false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customFormat="false" ht="15.75" hidden="false" customHeight="false" outlineLevel="0" collapsed="false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customFormat="false" ht="15.75" hidden="false" customHeight="false" outlineLevel="0" collapsed="false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customFormat="false" ht="15.75" hidden="false" customHeight="false" outlineLevel="0" collapsed="false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customFormat="false" ht="15.75" hidden="false" customHeight="false" outlineLevel="0" collapsed="false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customFormat="false" ht="15.75" hidden="false" customHeight="false" outlineLevel="0" collapsed="false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customFormat="false" ht="15.75" hidden="false" customHeight="false" outlineLevel="0" collapsed="false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customFormat="false" ht="15.75" hidden="false" customHeight="false" outlineLevel="0" collapsed="false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customFormat="false" ht="15.75" hidden="false" customHeight="false" outlineLevel="0" collapsed="false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customFormat="false" ht="15.75" hidden="false" customHeight="false" outlineLevel="0" collapsed="false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customFormat="false" ht="15.75" hidden="false" customHeight="false" outlineLevel="0" collapsed="false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customFormat="false" ht="15.75" hidden="false" customHeight="false" outlineLevel="0" collapsed="false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customFormat="false" ht="15.75" hidden="false" customHeight="false" outlineLevel="0" collapsed="false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customFormat="false" ht="15.75" hidden="false" customHeight="false" outlineLevel="0" collapsed="false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customFormat="false" ht="15.75" hidden="false" customHeight="false" outlineLevel="0" collapsed="false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customFormat="false" ht="15.75" hidden="false" customHeight="false" outlineLevel="0" collapsed="false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customFormat="false" ht="15.75" hidden="false" customHeight="false" outlineLevel="0" collapsed="false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customFormat="false" ht="15.75" hidden="false" customHeight="false" outlineLevel="0" collapsed="false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customFormat="false" ht="15.75" hidden="false" customHeight="false" outlineLevel="0" collapsed="false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customFormat="false" ht="15.75" hidden="false" customHeight="false" outlineLevel="0" collapsed="false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customFormat="false" ht="15.75" hidden="false" customHeight="false" outlineLevel="0" collapsed="false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customFormat="false" ht="15.75" hidden="false" customHeight="false" outlineLevel="0" collapsed="false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customFormat="false" ht="15.75" hidden="false" customHeight="false" outlineLevel="0" collapsed="false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customFormat="false" ht="15.75" hidden="false" customHeight="false" outlineLevel="0" collapsed="false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customFormat="false" ht="15.75" hidden="false" customHeight="false" outlineLevel="0" collapsed="false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customFormat="false" ht="15.75" hidden="false" customHeight="false" outlineLevel="0" collapsed="false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customFormat="false" ht="15.75" hidden="false" customHeight="false" outlineLevel="0" collapsed="false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customFormat="false" ht="15.75" hidden="false" customHeight="false" outlineLevel="0" collapsed="false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customFormat="false" ht="15.75" hidden="false" customHeight="false" outlineLevel="0" collapsed="false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customFormat="false" ht="15.75" hidden="false" customHeight="false" outlineLevel="0" collapsed="false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customFormat="false" ht="15.75" hidden="false" customHeight="false" outlineLevel="0" collapsed="false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customFormat="false" ht="15.75" hidden="false" customHeight="false" outlineLevel="0" collapsed="false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customFormat="false" ht="15.75" hidden="false" customHeight="false" outlineLevel="0" collapsed="false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customFormat="false" ht="15.75" hidden="false" customHeight="false" outlineLevel="0" collapsed="false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customFormat="false" ht="15.75" hidden="false" customHeight="false" outlineLevel="0" collapsed="false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customFormat="false" ht="15.75" hidden="false" customHeight="false" outlineLevel="0" collapsed="false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customFormat="false" ht="15.75" hidden="false" customHeight="false" outlineLevel="0" collapsed="false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customFormat="false" ht="15.75" hidden="false" customHeight="false" outlineLevel="0" collapsed="false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customFormat="false" ht="15.75" hidden="false" customHeight="false" outlineLevel="0" collapsed="false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customFormat="false" ht="15.75" hidden="false" customHeight="false" outlineLevel="0" collapsed="false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customFormat="false" ht="15.75" hidden="false" customHeight="false" outlineLevel="0" collapsed="false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customFormat="false" ht="15.75" hidden="false" customHeight="false" outlineLevel="0" collapsed="false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customFormat="false" ht="15.75" hidden="false" customHeight="false" outlineLevel="0" collapsed="false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customFormat="false" ht="15.75" hidden="false" customHeight="false" outlineLevel="0" collapsed="false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customFormat="false" ht="15.75" hidden="false" customHeight="false" outlineLevel="0" collapsed="false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customFormat="false" ht="15.75" hidden="false" customHeight="false" outlineLevel="0" collapsed="false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customFormat="false" ht="15.75" hidden="false" customHeight="false" outlineLevel="0" collapsed="false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customFormat="false" ht="15.75" hidden="false" customHeight="false" outlineLevel="0" collapsed="false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customFormat="false" ht="15.75" hidden="false" customHeight="false" outlineLevel="0" collapsed="false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customFormat="false" ht="15.75" hidden="false" customHeight="false" outlineLevel="0" collapsed="false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customFormat="false" ht="15.75" hidden="false" customHeight="false" outlineLevel="0" collapsed="false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customFormat="false" ht="15.75" hidden="false" customHeight="false" outlineLevel="0" collapsed="false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customFormat="false" ht="15.75" hidden="false" customHeight="false" outlineLevel="0" collapsed="false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customFormat="false" ht="15.75" hidden="false" customHeight="false" outlineLevel="0" collapsed="false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customFormat="false" ht="15.75" hidden="false" customHeight="false" outlineLevel="0" collapsed="false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customFormat="false" ht="15.75" hidden="false" customHeight="false" outlineLevel="0" collapsed="false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customFormat="false" ht="15.75" hidden="false" customHeight="false" outlineLevel="0" collapsed="false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customFormat="false" ht="15.75" hidden="false" customHeight="false" outlineLevel="0" collapsed="false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customFormat="false" ht="15.75" hidden="false" customHeight="false" outlineLevel="0" collapsed="false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customFormat="false" ht="15.75" hidden="false" customHeight="false" outlineLevel="0" collapsed="false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customFormat="false" ht="15.75" hidden="false" customHeight="false" outlineLevel="0" collapsed="false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customFormat="false" ht="15.75" hidden="false" customHeight="false" outlineLevel="0" collapsed="false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customFormat="false" ht="15.75" hidden="false" customHeight="false" outlineLevel="0" collapsed="false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customFormat="false" ht="15.75" hidden="false" customHeight="false" outlineLevel="0" collapsed="false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customFormat="false" ht="15.75" hidden="false" customHeight="false" outlineLevel="0" collapsed="false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customFormat="false" ht="15.75" hidden="false" customHeight="false" outlineLevel="0" collapsed="false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customFormat="false" ht="15.75" hidden="false" customHeight="false" outlineLevel="0" collapsed="false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customFormat="false" ht="15.75" hidden="false" customHeight="false" outlineLevel="0" collapsed="false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customFormat="false" ht="15.75" hidden="false" customHeight="false" outlineLevel="0" collapsed="false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customFormat="false" ht="15.75" hidden="false" customHeight="false" outlineLevel="0" collapsed="false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customFormat="false" ht="15.75" hidden="false" customHeight="false" outlineLevel="0" collapsed="false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customFormat="false" ht="15.75" hidden="false" customHeight="false" outlineLevel="0" collapsed="false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customFormat="false" ht="15.75" hidden="false" customHeight="false" outlineLevel="0" collapsed="false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customFormat="false" ht="15.75" hidden="false" customHeight="false" outlineLevel="0" collapsed="false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customFormat="false" ht="15.75" hidden="false" customHeight="false" outlineLevel="0" collapsed="false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customFormat="false" ht="15.75" hidden="false" customHeight="false" outlineLevel="0" collapsed="false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customFormat="false" ht="15.75" hidden="false" customHeight="false" outlineLevel="0" collapsed="false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customFormat="false" ht="15.75" hidden="false" customHeight="false" outlineLevel="0" collapsed="false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customFormat="false" ht="15.75" hidden="false" customHeight="false" outlineLevel="0" collapsed="false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customFormat="false" ht="15.75" hidden="false" customHeight="false" outlineLevel="0" collapsed="false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customFormat="false" ht="15.75" hidden="false" customHeight="false" outlineLevel="0" collapsed="false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customFormat="false" ht="15.75" hidden="false" customHeight="false" outlineLevel="0" collapsed="false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customFormat="false" ht="15.75" hidden="false" customHeight="false" outlineLevel="0" collapsed="false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customFormat="false" ht="15.75" hidden="false" customHeight="false" outlineLevel="0" collapsed="false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customFormat="false" ht="15.75" hidden="false" customHeight="false" outlineLevel="0" collapsed="false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customFormat="false" ht="15.75" hidden="false" customHeight="false" outlineLevel="0" collapsed="false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customFormat="false" ht="15.75" hidden="false" customHeight="false" outlineLevel="0" collapsed="false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customFormat="false" ht="15.75" hidden="false" customHeight="false" outlineLevel="0" collapsed="false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customFormat="false" ht="15.75" hidden="false" customHeight="false" outlineLevel="0" collapsed="false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customFormat="false" ht="15.75" hidden="false" customHeight="false" outlineLevel="0" collapsed="false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customFormat="false" ht="15.75" hidden="false" customHeight="false" outlineLevel="0" collapsed="false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customFormat="false" ht="15.75" hidden="false" customHeight="false" outlineLevel="0" collapsed="false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customFormat="false" ht="15.75" hidden="false" customHeight="false" outlineLevel="0" collapsed="false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customFormat="false" ht="15.75" hidden="false" customHeight="false" outlineLevel="0" collapsed="false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customFormat="false" ht="15.75" hidden="false" customHeight="false" outlineLevel="0" collapsed="false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customFormat="false" ht="15.75" hidden="false" customHeight="false" outlineLevel="0" collapsed="false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customFormat="false" ht="15.75" hidden="false" customHeight="false" outlineLevel="0" collapsed="false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customFormat="false" ht="15.75" hidden="false" customHeight="false" outlineLevel="0" collapsed="false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customFormat="false" ht="15.75" hidden="false" customHeight="false" outlineLevel="0" collapsed="false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customFormat="false" ht="15.75" hidden="false" customHeight="false" outlineLevel="0" collapsed="false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customFormat="false" ht="15.75" hidden="false" customHeight="false" outlineLevel="0" collapsed="false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customFormat="false" ht="15.75" hidden="false" customHeight="false" outlineLevel="0" collapsed="false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customFormat="false" ht="15.75" hidden="false" customHeight="false" outlineLevel="0" collapsed="false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customFormat="false" ht="15.75" hidden="false" customHeight="false" outlineLevel="0" collapsed="false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customFormat="false" ht="15.75" hidden="false" customHeight="false" outlineLevel="0" collapsed="false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customFormat="false" ht="15.75" hidden="false" customHeight="false" outlineLevel="0" collapsed="false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customFormat="false" ht="15.75" hidden="false" customHeight="false" outlineLevel="0" collapsed="false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customFormat="false" ht="15.75" hidden="false" customHeight="false" outlineLevel="0" collapsed="false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customFormat="false" ht="15.75" hidden="false" customHeight="false" outlineLevel="0" collapsed="false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customFormat="false" ht="15.75" hidden="false" customHeight="false" outlineLevel="0" collapsed="false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customFormat="false" ht="15.75" hidden="false" customHeight="false" outlineLevel="0" collapsed="false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customFormat="false" ht="15.75" hidden="false" customHeight="false" outlineLevel="0" collapsed="false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customFormat="false" ht="15.75" hidden="false" customHeight="false" outlineLevel="0" collapsed="false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customFormat="false" ht="15.75" hidden="false" customHeight="false" outlineLevel="0" collapsed="false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customFormat="false" ht="15.75" hidden="false" customHeight="false" outlineLevel="0" collapsed="false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customFormat="false" ht="15.75" hidden="false" customHeight="false" outlineLevel="0" collapsed="false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customFormat="false" ht="15.75" hidden="false" customHeight="false" outlineLevel="0" collapsed="false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customFormat="false" ht="15.75" hidden="false" customHeight="false" outlineLevel="0" collapsed="false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customFormat="false" ht="15.75" hidden="false" customHeight="false" outlineLevel="0" collapsed="false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customFormat="false" ht="15.75" hidden="false" customHeight="false" outlineLevel="0" collapsed="false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customFormat="false" ht="15.75" hidden="false" customHeight="false" outlineLevel="0" collapsed="false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customFormat="false" ht="15.75" hidden="false" customHeight="false" outlineLevel="0" collapsed="false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customFormat="false" ht="15.75" hidden="false" customHeight="false" outlineLevel="0" collapsed="false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customFormat="false" ht="15.75" hidden="false" customHeight="false" outlineLevel="0" collapsed="false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customFormat="false" ht="15.75" hidden="false" customHeight="false" outlineLevel="0" collapsed="false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customFormat="false" ht="15.75" hidden="false" customHeight="false" outlineLevel="0" collapsed="false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customFormat="false" ht="15.75" hidden="false" customHeight="false" outlineLevel="0" collapsed="false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customFormat="false" ht="15.75" hidden="false" customHeight="false" outlineLevel="0" collapsed="false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customFormat="false" ht="15.75" hidden="false" customHeight="false" outlineLevel="0" collapsed="false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customFormat="false" ht="15.75" hidden="false" customHeight="false" outlineLevel="0" collapsed="false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customFormat="false" ht="15.75" hidden="false" customHeight="false" outlineLevel="0" collapsed="false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customFormat="false" ht="15.75" hidden="false" customHeight="false" outlineLevel="0" collapsed="false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customFormat="false" ht="15.75" hidden="false" customHeight="false" outlineLevel="0" collapsed="false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customFormat="false" ht="15.75" hidden="false" customHeight="false" outlineLevel="0" collapsed="false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customFormat="false" ht="15.75" hidden="false" customHeight="false" outlineLevel="0" collapsed="false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customFormat="false" ht="15.75" hidden="false" customHeight="false" outlineLevel="0" collapsed="false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customFormat="false" ht="15.75" hidden="false" customHeight="false" outlineLevel="0" collapsed="false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customFormat="false" ht="15.75" hidden="false" customHeight="false" outlineLevel="0" collapsed="false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customFormat="false" ht="15.75" hidden="false" customHeight="false" outlineLevel="0" collapsed="false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customFormat="false" ht="15.75" hidden="false" customHeight="false" outlineLevel="0" collapsed="false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customFormat="false" ht="15.75" hidden="false" customHeight="false" outlineLevel="0" collapsed="false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customFormat="false" ht="15.75" hidden="false" customHeight="false" outlineLevel="0" collapsed="false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customFormat="false" ht="15.75" hidden="false" customHeight="false" outlineLevel="0" collapsed="false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customFormat="false" ht="15.75" hidden="false" customHeight="false" outlineLevel="0" collapsed="false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customFormat="false" ht="15.75" hidden="false" customHeight="false" outlineLevel="0" collapsed="false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customFormat="false" ht="15.75" hidden="false" customHeight="false" outlineLevel="0" collapsed="false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customFormat="false" ht="15.75" hidden="false" customHeight="false" outlineLevel="0" collapsed="false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customFormat="false" ht="15.75" hidden="false" customHeight="false" outlineLevel="0" collapsed="false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customFormat="false" ht="15.75" hidden="false" customHeight="false" outlineLevel="0" collapsed="false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customFormat="false" ht="15.75" hidden="false" customHeight="false" outlineLevel="0" collapsed="false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customFormat="false" ht="15.75" hidden="false" customHeight="false" outlineLevel="0" collapsed="false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customFormat="false" ht="15.75" hidden="false" customHeight="false" outlineLevel="0" collapsed="false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customFormat="false" ht="15.75" hidden="false" customHeight="false" outlineLevel="0" collapsed="false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customFormat="false" ht="15.75" hidden="false" customHeight="false" outlineLevel="0" collapsed="false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customFormat="false" ht="15.75" hidden="false" customHeight="false" outlineLevel="0" collapsed="false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customFormat="false" ht="15.75" hidden="false" customHeight="false" outlineLevel="0" collapsed="false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customFormat="false" ht="15.75" hidden="false" customHeight="false" outlineLevel="0" collapsed="false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customFormat="false" ht="15.75" hidden="false" customHeight="false" outlineLevel="0" collapsed="false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customFormat="false" ht="15.75" hidden="false" customHeight="false" outlineLevel="0" collapsed="false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customFormat="false" ht="15.75" hidden="false" customHeight="false" outlineLevel="0" collapsed="false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customFormat="false" ht="15.75" hidden="false" customHeight="false" outlineLevel="0" collapsed="false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customFormat="false" ht="15.75" hidden="false" customHeight="false" outlineLevel="0" collapsed="false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customFormat="false" ht="15.75" hidden="false" customHeight="false" outlineLevel="0" collapsed="false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customFormat="false" ht="15.75" hidden="false" customHeight="false" outlineLevel="0" collapsed="false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customFormat="false" ht="15.75" hidden="false" customHeight="false" outlineLevel="0" collapsed="false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customFormat="false" ht="15.75" hidden="false" customHeight="false" outlineLevel="0" collapsed="false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customFormat="false" ht="15.75" hidden="false" customHeight="false" outlineLevel="0" collapsed="false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customFormat="false" ht="15.75" hidden="false" customHeight="false" outlineLevel="0" collapsed="false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customFormat="false" ht="15.75" hidden="false" customHeight="false" outlineLevel="0" collapsed="false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customFormat="false" ht="15.75" hidden="false" customHeight="false" outlineLevel="0" collapsed="false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customFormat="false" ht="15.75" hidden="false" customHeight="false" outlineLevel="0" collapsed="false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customFormat="false" ht="15.75" hidden="false" customHeight="false" outlineLevel="0" collapsed="false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customFormat="false" ht="15.75" hidden="false" customHeight="false" outlineLevel="0" collapsed="false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customFormat="false" ht="15.75" hidden="false" customHeight="false" outlineLevel="0" collapsed="false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customFormat="false" ht="15.75" hidden="false" customHeight="false" outlineLevel="0" collapsed="false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customFormat="false" ht="15.75" hidden="false" customHeight="false" outlineLevel="0" collapsed="false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customFormat="false" ht="15.75" hidden="false" customHeight="false" outlineLevel="0" collapsed="false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customFormat="false" ht="15.75" hidden="false" customHeight="false" outlineLevel="0" collapsed="false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customFormat="false" ht="15.75" hidden="false" customHeight="false" outlineLevel="0" collapsed="false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customFormat="false" ht="15.75" hidden="false" customHeight="false" outlineLevel="0" collapsed="false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customFormat="false" ht="15.75" hidden="false" customHeight="false" outlineLevel="0" collapsed="false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customFormat="false" ht="15.75" hidden="false" customHeight="false" outlineLevel="0" collapsed="false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customFormat="false" ht="15.75" hidden="false" customHeight="false" outlineLevel="0" collapsed="false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customFormat="false" ht="15.75" hidden="false" customHeight="false" outlineLevel="0" collapsed="false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customFormat="false" ht="15.75" hidden="false" customHeight="false" outlineLevel="0" collapsed="false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customFormat="false" ht="15.75" hidden="false" customHeight="false" outlineLevel="0" collapsed="false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customFormat="false" ht="15.75" hidden="false" customHeight="false" outlineLevel="0" collapsed="false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customFormat="false" ht="15.75" hidden="false" customHeight="false" outlineLevel="0" collapsed="false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customFormat="false" ht="15.75" hidden="false" customHeight="false" outlineLevel="0" collapsed="false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customFormat="false" ht="15.75" hidden="false" customHeight="false" outlineLevel="0" collapsed="false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customFormat="false" ht="15.75" hidden="false" customHeight="false" outlineLevel="0" collapsed="false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customFormat="false" ht="15.75" hidden="false" customHeight="false" outlineLevel="0" collapsed="false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customFormat="false" ht="15.75" hidden="false" customHeight="false" outlineLevel="0" collapsed="false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customFormat="false" ht="15.75" hidden="false" customHeight="false" outlineLevel="0" collapsed="false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customFormat="false" ht="15.75" hidden="false" customHeight="false" outlineLevel="0" collapsed="false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customFormat="false" ht="15.75" hidden="false" customHeight="false" outlineLevel="0" collapsed="false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customFormat="false" ht="15.75" hidden="false" customHeight="false" outlineLevel="0" collapsed="false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customFormat="false" ht="15.75" hidden="false" customHeight="false" outlineLevel="0" collapsed="false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customFormat="false" ht="15.75" hidden="false" customHeight="false" outlineLevel="0" collapsed="false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customFormat="false" ht="15.75" hidden="false" customHeight="false" outlineLevel="0" collapsed="false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customFormat="false" ht="15.75" hidden="false" customHeight="false" outlineLevel="0" collapsed="false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customFormat="false" ht="15.75" hidden="false" customHeight="false" outlineLevel="0" collapsed="false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customFormat="false" ht="15.75" hidden="false" customHeight="false" outlineLevel="0" collapsed="false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customFormat="false" ht="15.75" hidden="false" customHeight="false" outlineLevel="0" collapsed="false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customFormat="false" ht="15.75" hidden="false" customHeight="false" outlineLevel="0" collapsed="false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customFormat="false" ht="15.75" hidden="false" customHeight="false" outlineLevel="0" collapsed="false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customFormat="false" ht="15.75" hidden="false" customHeight="false" outlineLevel="0" collapsed="false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customFormat="false" ht="15.75" hidden="false" customHeight="false" outlineLevel="0" collapsed="false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customFormat="false" ht="15.75" hidden="false" customHeight="false" outlineLevel="0" collapsed="false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customFormat="false" ht="15.75" hidden="false" customHeight="false" outlineLevel="0" collapsed="false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customFormat="false" ht="15.75" hidden="false" customHeight="false" outlineLevel="0" collapsed="false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customFormat="false" ht="15.75" hidden="false" customHeight="false" outlineLevel="0" collapsed="false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customFormat="false" ht="15.75" hidden="false" customHeight="false" outlineLevel="0" collapsed="false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customFormat="false" ht="15.75" hidden="false" customHeight="false" outlineLevel="0" collapsed="false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customFormat="false" ht="15.75" hidden="false" customHeight="false" outlineLevel="0" collapsed="false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customFormat="false" ht="15.75" hidden="false" customHeight="false" outlineLevel="0" collapsed="false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customFormat="false" ht="15.75" hidden="false" customHeight="false" outlineLevel="0" collapsed="false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customFormat="false" ht="15.75" hidden="false" customHeight="false" outlineLevel="0" collapsed="false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customFormat="false" ht="15.75" hidden="false" customHeight="false" outlineLevel="0" collapsed="false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customFormat="false" ht="15.75" hidden="false" customHeight="false" outlineLevel="0" collapsed="false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customFormat="false" ht="15.75" hidden="false" customHeight="false" outlineLevel="0" collapsed="false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customFormat="false" ht="15.75" hidden="false" customHeight="false" outlineLevel="0" collapsed="false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customFormat="false" ht="15.75" hidden="false" customHeight="false" outlineLevel="0" collapsed="false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customFormat="false" ht="15.75" hidden="false" customHeight="false" outlineLevel="0" collapsed="false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customFormat="false" ht="15.75" hidden="false" customHeight="false" outlineLevel="0" collapsed="false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customFormat="false" ht="15.75" hidden="false" customHeight="false" outlineLevel="0" collapsed="false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customFormat="false" ht="15.75" hidden="false" customHeight="false" outlineLevel="0" collapsed="false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customFormat="false" ht="15.75" hidden="false" customHeight="false" outlineLevel="0" collapsed="false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customFormat="false" ht="15.75" hidden="false" customHeight="false" outlineLevel="0" collapsed="false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customFormat="false" ht="15.75" hidden="false" customHeight="false" outlineLevel="0" collapsed="false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customFormat="false" ht="15.75" hidden="false" customHeight="false" outlineLevel="0" collapsed="false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customFormat="false" ht="15.75" hidden="false" customHeight="false" outlineLevel="0" collapsed="false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customFormat="false" ht="15.75" hidden="false" customHeight="false" outlineLevel="0" collapsed="false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customFormat="false" ht="15.75" hidden="false" customHeight="false" outlineLevel="0" collapsed="false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customFormat="false" ht="15.75" hidden="false" customHeight="false" outlineLevel="0" collapsed="false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customFormat="false" ht="15.75" hidden="false" customHeight="false" outlineLevel="0" collapsed="false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customFormat="false" ht="15.75" hidden="false" customHeight="false" outlineLevel="0" collapsed="false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customFormat="false" ht="15.75" hidden="false" customHeight="false" outlineLevel="0" collapsed="false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customFormat="false" ht="15.75" hidden="false" customHeight="false" outlineLevel="0" collapsed="false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customFormat="false" ht="15.75" hidden="false" customHeight="false" outlineLevel="0" collapsed="false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customFormat="false" ht="15.75" hidden="false" customHeight="false" outlineLevel="0" collapsed="false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customFormat="false" ht="15.75" hidden="false" customHeight="false" outlineLevel="0" collapsed="false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customFormat="false" ht="15.75" hidden="false" customHeight="false" outlineLevel="0" collapsed="false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customFormat="false" ht="15.75" hidden="false" customHeight="false" outlineLevel="0" collapsed="false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customFormat="false" ht="15.75" hidden="false" customHeight="false" outlineLevel="0" collapsed="false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customFormat="false" ht="15.75" hidden="false" customHeight="false" outlineLevel="0" collapsed="false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customFormat="false" ht="15.75" hidden="false" customHeight="false" outlineLevel="0" collapsed="false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customFormat="false" ht="15.75" hidden="false" customHeight="false" outlineLevel="0" collapsed="false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customFormat="false" ht="15.75" hidden="false" customHeight="false" outlineLevel="0" collapsed="false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customFormat="false" ht="15.75" hidden="false" customHeight="false" outlineLevel="0" collapsed="false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customFormat="false" ht="15.75" hidden="false" customHeight="false" outlineLevel="0" collapsed="false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customFormat="false" ht="15.75" hidden="false" customHeight="false" outlineLevel="0" collapsed="false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customFormat="false" ht="15.75" hidden="false" customHeight="false" outlineLevel="0" collapsed="false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customFormat="false" ht="15.75" hidden="false" customHeight="false" outlineLevel="0" collapsed="false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customFormat="false" ht="15.75" hidden="false" customHeight="false" outlineLevel="0" collapsed="false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customFormat="false" ht="15.75" hidden="false" customHeight="false" outlineLevel="0" collapsed="false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customFormat="false" ht="15.75" hidden="false" customHeight="false" outlineLevel="0" collapsed="false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customFormat="false" ht="15.75" hidden="false" customHeight="false" outlineLevel="0" collapsed="false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customFormat="false" ht="15.75" hidden="false" customHeight="false" outlineLevel="0" collapsed="false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customFormat="false" ht="15.75" hidden="false" customHeight="false" outlineLevel="0" collapsed="false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customFormat="false" ht="15.75" hidden="false" customHeight="false" outlineLevel="0" collapsed="false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customFormat="false" ht="15.75" hidden="false" customHeight="false" outlineLevel="0" collapsed="false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customFormat="false" ht="15.75" hidden="false" customHeight="false" outlineLevel="0" collapsed="false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customFormat="false" ht="15.75" hidden="false" customHeight="false" outlineLevel="0" collapsed="false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customFormat="false" ht="15.75" hidden="false" customHeight="false" outlineLevel="0" collapsed="false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customFormat="false" ht="15.75" hidden="false" customHeight="false" outlineLevel="0" collapsed="false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customFormat="false" ht="15.75" hidden="false" customHeight="false" outlineLevel="0" collapsed="false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customFormat="false" ht="15.75" hidden="false" customHeight="false" outlineLevel="0" collapsed="false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customFormat="false" ht="15.75" hidden="false" customHeight="false" outlineLevel="0" collapsed="false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customFormat="false" ht="15.75" hidden="false" customHeight="false" outlineLevel="0" collapsed="false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customFormat="false" ht="15.75" hidden="false" customHeight="false" outlineLevel="0" collapsed="false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customFormat="false" ht="15.75" hidden="false" customHeight="false" outlineLevel="0" collapsed="false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customFormat="false" ht="15.75" hidden="false" customHeight="false" outlineLevel="0" collapsed="false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customFormat="false" ht="15.75" hidden="false" customHeight="false" outlineLevel="0" collapsed="false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customFormat="false" ht="15.75" hidden="false" customHeight="false" outlineLevel="0" collapsed="false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customFormat="false" ht="15.75" hidden="false" customHeight="false" outlineLevel="0" collapsed="false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customFormat="false" ht="15.75" hidden="false" customHeight="false" outlineLevel="0" collapsed="false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customFormat="false" ht="15.75" hidden="false" customHeight="false" outlineLevel="0" collapsed="false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customFormat="false" ht="15.75" hidden="false" customHeight="false" outlineLevel="0" collapsed="false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customFormat="false" ht="15.75" hidden="false" customHeight="false" outlineLevel="0" collapsed="false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customFormat="false" ht="15.75" hidden="false" customHeight="false" outlineLevel="0" collapsed="false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customFormat="false" ht="15.75" hidden="false" customHeight="false" outlineLevel="0" collapsed="false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customFormat="false" ht="15.75" hidden="false" customHeight="false" outlineLevel="0" collapsed="false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customFormat="false" ht="15.75" hidden="false" customHeight="false" outlineLevel="0" collapsed="false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customFormat="false" ht="15.75" hidden="false" customHeight="false" outlineLevel="0" collapsed="false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customFormat="false" ht="15.75" hidden="false" customHeight="false" outlineLevel="0" collapsed="false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customFormat="false" ht="15.75" hidden="false" customHeight="false" outlineLevel="0" collapsed="false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customFormat="false" ht="15.75" hidden="false" customHeight="false" outlineLevel="0" collapsed="false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customFormat="false" ht="15.75" hidden="false" customHeight="false" outlineLevel="0" collapsed="false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customFormat="false" ht="15.75" hidden="false" customHeight="false" outlineLevel="0" collapsed="false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customFormat="false" ht="15.75" hidden="false" customHeight="false" outlineLevel="0" collapsed="false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customFormat="false" ht="15.75" hidden="false" customHeight="false" outlineLevel="0" collapsed="false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customFormat="false" ht="15.75" hidden="false" customHeight="false" outlineLevel="0" collapsed="false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customFormat="false" ht="15.75" hidden="false" customHeight="false" outlineLevel="0" collapsed="false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customFormat="false" ht="15.75" hidden="false" customHeight="false" outlineLevel="0" collapsed="false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customFormat="false" ht="15.75" hidden="false" customHeight="false" outlineLevel="0" collapsed="false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customFormat="false" ht="15.75" hidden="false" customHeight="false" outlineLevel="0" collapsed="false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customFormat="false" ht="15.75" hidden="false" customHeight="false" outlineLevel="0" collapsed="false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customFormat="false" ht="15.75" hidden="false" customHeight="false" outlineLevel="0" collapsed="false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customFormat="false" ht="15.75" hidden="false" customHeight="false" outlineLevel="0" collapsed="false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customFormat="false" ht="15.75" hidden="false" customHeight="false" outlineLevel="0" collapsed="false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customFormat="false" ht="15.75" hidden="false" customHeight="false" outlineLevel="0" collapsed="false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customFormat="false" ht="15.75" hidden="false" customHeight="false" outlineLevel="0" collapsed="false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customFormat="false" ht="15.75" hidden="false" customHeight="false" outlineLevel="0" collapsed="false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customFormat="false" ht="15.75" hidden="false" customHeight="false" outlineLevel="0" collapsed="false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customFormat="false" ht="15.75" hidden="false" customHeight="false" outlineLevel="0" collapsed="false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customFormat="false" ht="15.75" hidden="false" customHeight="false" outlineLevel="0" collapsed="false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customFormat="false" ht="15.75" hidden="false" customHeight="false" outlineLevel="0" collapsed="false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customFormat="false" ht="15.75" hidden="false" customHeight="false" outlineLevel="0" collapsed="false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customFormat="false" ht="15.75" hidden="false" customHeight="false" outlineLevel="0" collapsed="false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customFormat="false" ht="15.75" hidden="false" customHeight="false" outlineLevel="0" collapsed="false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customFormat="false" ht="15.75" hidden="false" customHeight="false" outlineLevel="0" collapsed="false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customFormat="false" ht="15.75" hidden="false" customHeight="false" outlineLevel="0" collapsed="false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customFormat="false" ht="15.75" hidden="false" customHeight="false" outlineLevel="0" collapsed="false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customFormat="false" ht="15.75" hidden="false" customHeight="false" outlineLevel="0" collapsed="false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customFormat="false" ht="15.75" hidden="false" customHeight="false" outlineLevel="0" collapsed="false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customFormat="false" ht="15.75" hidden="false" customHeight="false" outlineLevel="0" collapsed="false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customFormat="false" ht="15.75" hidden="false" customHeight="false" outlineLevel="0" collapsed="false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customFormat="false" ht="15.75" hidden="false" customHeight="false" outlineLevel="0" collapsed="false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customFormat="false" ht="15.75" hidden="false" customHeight="false" outlineLevel="0" collapsed="false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customFormat="false" ht="15.75" hidden="false" customHeight="false" outlineLevel="0" collapsed="false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0" t="s">
        <v>45</v>
      </c>
      <c r="B1" s="20" t="s">
        <v>46</v>
      </c>
      <c r="C1" s="20" t="s">
        <v>47</v>
      </c>
      <c r="D1" s="20" t="s">
        <v>48</v>
      </c>
      <c r="E1" s="20" t="s">
        <v>49</v>
      </c>
      <c r="F1" s="20" t="s">
        <v>50</v>
      </c>
      <c r="G1" s="20" t="s">
        <v>51</v>
      </c>
      <c r="H1" s="20" t="s">
        <v>52</v>
      </c>
    </row>
    <row r="2" customFormat="false" ht="15.75" hidden="false" customHeight="false" outlineLevel="0" collapsed="false">
      <c r="A2" s="22" t="s">
        <v>155</v>
      </c>
      <c r="B2" s="22" t="s">
        <v>156</v>
      </c>
      <c r="C2" s="22" t="s">
        <v>157</v>
      </c>
      <c r="D2" s="22" t="s">
        <v>158</v>
      </c>
      <c r="E2" s="22" t="s">
        <v>159</v>
      </c>
      <c r="F2" s="22" t="s">
        <v>160</v>
      </c>
      <c r="G2" s="22" t="s">
        <v>161</v>
      </c>
      <c r="H2" s="22" t="s">
        <v>60</v>
      </c>
    </row>
    <row r="3" customFormat="false" ht="15.75" hidden="false" customHeight="false" outlineLevel="0" collapsed="false">
      <c r="A3" s="22" t="s">
        <v>162</v>
      </c>
      <c r="B3" s="22" t="s">
        <v>156</v>
      </c>
      <c r="C3" s="22" t="s">
        <v>163</v>
      </c>
      <c r="D3" s="22" t="s">
        <v>164</v>
      </c>
      <c r="E3" s="22" t="s">
        <v>165</v>
      </c>
      <c r="F3" s="22" t="s">
        <v>166</v>
      </c>
      <c r="G3" s="22" t="s">
        <v>167</v>
      </c>
      <c r="H3" s="22" t="s">
        <v>60</v>
      </c>
    </row>
    <row r="4" customFormat="false" ht="15.75" hidden="false" customHeight="false" outlineLevel="0" collapsed="false">
      <c r="A4" s="22" t="s">
        <v>168</v>
      </c>
      <c r="B4" s="22" t="s">
        <v>156</v>
      </c>
      <c r="C4" s="22" t="s">
        <v>169</v>
      </c>
      <c r="D4" s="22" t="s">
        <v>170</v>
      </c>
      <c r="E4" s="22" t="s">
        <v>171</v>
      </c>
      <c r="F4" s="22" t="s">
        <v>172</v>
      </c>
      <c r="G4" s="22" t="s">
        <v>173</v>
      </c>
      <c r="H4" s="22" t="s">
        <v>60</v>
      </c>
    </row>
    <row r="5" customFormat="false" ht="15.75" hidden="false" customHeight="false" outlineLevel="0" collapsed="false">
      <c r="A5" s="22" t="s">
        <v>174</v>
      </c>
      <c r="B5" s="22" t="s">
        <v>156</v>
      </c>
      <c r="C5" s="22" t="s">
        <v>175</v>
      </c>
      <c r="D5" s="22" t="s">
        <v>176</v>
      </c>
      <c r="E5" s="22" t="s">
        <v>177</v>
      </c>
      <c r="F5" s="22" t="s">
        <v>178</v>
      </c>
      <c r="G5" s="22" t="s">
        <v>179</v>
      </c>
      <c r="H5" s="22" t="s">
        <v>60</v>
      </c>
    </row>
    <row r="6" customFormat="false" ht="15.75" hidden="false" customHeight="false" outlineLevel="0" collapsed="false">
      <c r="A6" s="22" t="s">
        <v>180</v>
      </c>
      <c r="B6" s="22" t="s">
        <v>156</v>
      </c>
      <c r="C6" s="22" t="s">
        <v>181</v>
      </c>
      <c r="D6" s="22" t="s">
        <v>182</v>
      </c>
      <c r="E6" s="22" t="s">
        <v>183</v>
      </c>
      <c r="F6" s="22" t="s">
        <v>184</v>
      </c>
      <c r="G6" s="22" t="s">
        <v>185</v>
      </c>
      <c r="H6" s="22" t="s">
        <v>60</v>
      </c>
    </row>
    <row r="7" customFormat="false" ht="15.75" hidden="false" customHeight="false" outlineLevel="0" collapsed="false">
      <c r="A7" s="22" t="s">
        <v>186</v>
      </c>
      <c r="B7" s="22" t="s">
        <v>156</v>
      </c>
      <c r="C7" s="22" t="s">
        <v>187</v>
      </c>
      <c r="D7" s="22" t="s">
        <v>188</v>
      </c>
      <c r="E7" s="22" t="s">
        <v>189</v>
      </c>
      <c r="F7" s="22" t="s">
        <v>190</v>
      </c>
      <c r="G7" s="22" t="s">
        <v>191</v>
      </c>
      <c r="H7" s="22" t="s">
        <v>60</v>
      </c>
    </row>
    <row r="8" customFormat="false" ht="15.75" hidden="false" customHeight="false" outlineLevel="0" collapsed="false">
      <c r="A8" s="22" t="s">
        <v>192</v>
      </c>
      <c r="B8" s="22" t="s">
        <v>156</v>
      </c>
      <c r="C8" s="22" t="s">
        <v>193</v>
      </c>
      <c r="D8" s="22" t="s">
        <v>194</v>
      </c>
      <c r="E8" s="22" t="s">
        <v>195</v>
      </c>
      <c r="F8" s="22" t="s">
        <v>196</v>
      </c>
      <c r="G8" s="22" t="s">
        <v>197</v>
      </c>
      <c r="H8" s="22" t="s">
        <v>60</v>
      </c>
    </row>
    <row r="9" customFormat="false" ht="15.75" hidden="false" customHeight="false" outlineLevel="0" collapsed="false">
      <c r="A9" s="22" t="s">
        <v>198</v>
      </c>
      <c r="B9" s="22" t="s">
        <v>156</v>
      </c>
      <c r="C9" s="22" t="s">
        <v>199</v>
      </c>
      <c r="D9" s="22" t="s">
        <v>200</v>
      </c>
      <c r="E9" s="22" t="s">
        <v>201</v>
      </c>
      <c r="F9" s="22" t="s">
        <v>202</v>
      </c>
      <c r="G9" s="22" t="s">
        <v>203</v>
      </c>
      <c r="H9" s="22" t="s">
        <v>60</v>
      </c>
    </row>
    <row r="10" customFormat="false" ht="15.75" hidden="false" customHeight="false" outlineLevel="0" collapsed="false">
      <c r="A10" s="22" t="s">
        <v>204</v>
      </c>
      <c r="B10" s="22" t="s">
        <v>156</v>
      </c>
      <c r="C10" s="22" t="s">
        <v>205</v>
      </c>
      <c r="D10" s="22" t="s">
        <v>206</v>
      </c>
      <c r="E10" s="22" t="s">
        <v>207</v>
      </c>
      <c r="F10" s="22" t="s">
        <v>208</v>
      </c>
      <c r="G10" s="22" t="s">
        <v>209</v>
      </c>
      <c r="H10" s="22" t="s">
        <v>60</v>
      </c>
    </row>
    <row r="11" customFormat="false" ht="15.75" hidden="false" customHeight="false" outlineLevel="0" collapsed="false">
      <c r="A11" s="22" t="s">
        <v>210</v>
      </c>
      <c r="B11" s="22" t="s">
        <v>156</v>
      </c>
      <c r="C11" s="22" t="s">
        <v>211</v>
      </c>
      <c r="D11" s="22" t="s">
        <v>206</v>
      </c>
      <c r="E11" s="22" t="s">
        <v>207</v>
      </c>
      <c r="F11" s="22" t="s">
        <v>208</v>
      </c>
      <c r="G11" s="22" t="s">
        <v>209</v>
      </c>
      <c r="H11" s="22" t="s">
        <v>60</v>
      </c>
    </row>
    <row r="12" customFormat="false" ht="15.75" hidden="false" customHeight="false" outlineLevel="0" collapsed="false">
      <c r="A12" s="22" t="s">
        <v>212</v>
      </c>
      <c r="B12" s="22" t="s">
        <v>156</v>
      </c>
      <c r="C12" s="22" t="s">
        <v>213</v>
      </c>
      <c r="D12" s="22" t="s">
        <v>214</v>
      </c>
      <c r="E12" s="22" t="s">
        <v>215</v>
      </c>
      <c r="F12" s="22" t="s">
        <v>216</v>
      </c>
      <c r="G12" s="22" t="s">
        <v>217</v>
      </c>
      <c r="H12" s="22" t="s">
        <v>60</v>
      </c>
    </row>
    <row r="13" customFormat="false" ht="15.75" hidden="false" customHeight="false" outlineLevel="0" collapsed="false">
      <c r="A13" s="22" t="s">
        <v>218</v>
      </c>
      <c r="B13" s="22" t="s">
        <v>156</v>
      </c>
      <c r="C13" s="22" t="s">
        <v>219</v>
      </c>
      <c r="D13" s="22" t="s">
        <v>220</v>
      </c>
      <c r="E13" s="22" t="s">
        <v>221</v>
      </c>
      <c r="F13" s="22" t="s">
        <v>222</v>
      </c>
      <c r="G13" s="22" t="s">
        <v>223</v>
      </c>
      <c r="H13" s="22" t="s">
        <v>60</v>
      </c>
    </row>
    <row r="14" customFormat="false" ht="15.75" hidden="false" customHeight="false" outlineLevel="0" collapsed="false">
      <c r="A14" s="22" t="s">
        <v>224</v>
      </c>
      <c r="B14" s="22" t="s">
        <v>156</v>
      </c>
      <c r="C14" s="22" t="s">
        <v>225</v>
      </c>
      <c r="D14" s="22" t="s">
        <v>220</v>
      </c>
      <c r="E14" s="22" t="s">
        <v>221</v>
      </c>
      <c r="F14" s="22" t="s">
        <v>222</v>
      </c>
      <c r="G14" s="22" t="s">
        <v>223</v>
      </c>
      <c r="H14" s="22" t="s">
        <v>60</v>
      </c>
    </row>
    <row r="15" customFormat="false" ht="15.75" hidden="false" customHeight="false" outlineLevel="0" collapsed="false">
      <c r="A15" s="22" t="s">
        <v>226</v>
      </c>
      <c r="B15" s="22" t="s">
        <v>156</v>
      </c>
      <c r="C15" s="22" t="s">
        <v>227</v>
      </c>
      <c r="D15" s="22" t="s">
        <v>228</v>
      </c>
      <c r="E15" s="22" t="s">
        <v>229</v>
      </c>
      <c r="F15" s="22" t="s">
        <v>230</v>
      </c>
      <c r="G15" s="22" t="s">
        <v>231</v>
      </c>
      <c r="H15" s="22" t="s">
        <v>60</v>
      </c>
    </row>
    <row r="16" customFormat="false" ht="15.75" hidden="false" customHeight="false" outlineLevel="0" collapsed="false">
      <c r="A16" s="22" t="s">
        <v>232</v>
      </c>
      <c r="B16" s="22" t="s">
        <v>156</v>
      </c>
      <c r="C16" s="22" t="s">
        <v>233</v>
      </c>
      <c r="D16" s="22" t="s">
        <v>234</v>
      </c>
      <c r="E16" s="22" t="s">
        <v>235</v>
      </c>
      <c r="F16" s="22" t="s">
        <v>236</v>
      </c>
      <c r="G16" s="22" t="s">
        <v>237</v>
      </c>
      <c r="H16" s="22" t="s">
        <v>60</v>
      </c>
    </row>
    <row r="17" customFormat="false" ht="15.75" hidden="false" customHeight="false" outlineLevel="0" collapsed="false">
      <c r="A17" s="22" t="s">
        <v>238</v>
      </c>
      <c r="B17" s="22" t="s">
        <v>156</v>
      </c>
      <c r="C17" s="22" t="s">
        <v>239</v>
      </c>
      <c r="D17" s="22" t="s">
        <v>240</v>
      </c>
      <c r="E17" s="22" t="s">
        <v>241</v>
      </c>
      <c r="F17" s="22" t="s">
        <v>242</v>
      </c>
      <c r="G17" s="22" t="s">
        <v>243</v>
      </c>
      <c r="H17" s="22" t="s">
        <v>60</v>
      </c>
    </row>
    <row r="18" customFormat="false" ht="15.75" hidden="false" customHeight="false" outlineLevel="0" collapsed="false">
      <c r="A18" s="22" t="s">
        <v>244</v>
      </c>
      <c r="B18" s="22" t="s">
        <v>156</v>
      </c>
      <c r="C18" s="22" t="s">
        <v>245</v>
      </c>
      <c r="D18" s="22" t="s">
        <v>246</v>
      </c>
      <c r="E18" s="22" t="s">
        <v>247</v>
      </c>
      <c r="F18" s="22" t="s">
        <v>248</v>
      </c>
      <c r="G18" s="22" t="s">
        <v>249</v>
      </c>
      <c r="H18" s="22" t="s">
        <v>60</v>
      </c>
    </row>
    <row r="19" customFormat="false" ht="15.75" hidden="false" customHeight="false" outlineLevel="0" collapsed="false">
      <c r="A19" s="22" t="s">
        <v>250</v>
      </c>
      <c r="B19" s="22" t="s">
        <v>156</v>
      </c>
      <c r="C19" s="22" t="s">
        <v>251</v>
      </c>
      <c r="D19" s="22" t="s">
        <v>252</v>
      </c>
      <c r="E19" s="22" t="s">
        <v>253</v>
      </c>
      <c r="F19" s="22" t="s">
        <v>254</v>
      </c>
      <c r="G19" s="22" t="s">
        <v>255</v>
      </c>
      <c r="H19" s="2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117</v>
      </c>
    </row>
    <row r="2" customFormat="false" ht="15.75" hidden="false" customHeight="false" outlineLevel="0" collapsed="false">
      <c r="A2" s="23" t="s">
        <v>115</v>
      </c>
    </row>
    <row r="3" customFormat="false" ht="15.75" hidden="false" customHeight="false" outlineLevel="0" collapsed="false">
      <c r="A3" s="16" t="s">
        <v>157</v>
      </c>
    </row>
    <row r="4" customFormat="false" ht="15.75" hidden="false" customHeight="false" outlineLevel="0" collapsed="false">
      <c r="A4" s="17" t="n">
        <v>9785</v>
      </c>
    </row>
    <row r="5" customFormat="false" ht="15.75" hidden="false" customHeight="false" outlineLevel="0" collapsed="false">
      <c r="A5" s="16" t="s">
        <v>163</v>
      </c>
    </row>
    <row r="6" customFormat="false" ht="15.75" hidden="false" customHeight="false" outlineLevel="0" collapsed="false">
      <c r="A6" s="17" t="n">
        <v>19568</v>
      </c>
    </row>
    <row r="7" customFormat="false" ht="15.75" hidden="false" customHeight="false" outlineLevel="0" collapsed="false">
      <c r="A7" s="16" t="s">
        <v>169</v>
      </c>
    </row>
    <row r="8" customFormat="false" ht="15.75" hidden="false" customHeight="false" outlineLevel="0" collapsed="false">
      <c r="A8" s="17" t="n">
        <v>48920</v>
      </c>
    </row>
    <row r="9" customFormat="false" ht="15.75" hidden="false" customHeight="false" outlineLevel="0" collapsed="false">
      <c r="A9" s="16" t="s">
        <v>175</v>
      </c>
    </row>
    <row r="10" customFormat="false" ht="15.75" hidden="false" customHeight="false" outlineLevel="0" collapsed="false">
      <c r="A10" s="17" t="n">
        <v>97838</v>
      </c>
    </row>
    <row r="11" customFormat="false" ht="15.75" hidden="false" customHeight="false" outlineLevel="0" collapsed="false">
      <c r="A11" s="16" t="s">
        <v>193</v>
      </c>
    </row>
    <row r="12" customFormat="false" ht="15.75" hidden="false" customHeight="false" outlineLevel="0" collapsed="false">
      <c r="A12" s="17" t="n">
        <v>195674</v>
      </c>
    </row>
    <row r="13" customFormat="false" ht="15.75" hidden="false" customHeight="false" outlineLevel="0" collapsed="false">
      <c r="A13" s="16" t="s">
        <v>211</v>
      </c>
    </row>
    <row r="14" customFormat="false" ht="15.75" hidden="false" customHeight="false" outlineLevel="0" collapsed="false">
      <c r="A14" s="17" t="n">
        <v>293511</v>
      </c>
    </row>
    <row r="15" customFormat="false" ht="15.75" hidden="false" customHeight="false" outlineLevel="0" collapsed="false">
      <c r="A15" s="16" t="s">
        <v>225</v>
      </c>
    </row>
    <row r="16" customFormat="false" ht="15.75" hidden="false" customHeight="false" outlineLevel="0" collapsed="false">
      <c r="A16" s="17" t="n">
        <v>489185</v>
      </c>
    </row>
    <row r="17" customFormat="false" ht="15.75" hidden="false" customHeight="false" outlineLevel="0" collapsed="false">
      <c r="A17" s="16" t="s">
        <v>256</v>
      </c>
    </row>
    <row r="18" customFormat="false" ht="15.75" hidden="false" customHeight="false" outlineLevel="0" collapsed="false">
      <c r="A18" s="17" t="n">
        <v>988152</v>
      </c>
    </row>
    <row r="19" customFormat="false" ht="15.75" hidden="false" customHeight="false" outlineLevel="0" collapsed="false">
      <c r="A19" s="16" t="s">
        <v>257</v>
      </c>
    </row>
    <row r="20" customFormat="false" ht="15.75" hidden="false" customHeight="false" outlineLevel="0" collapsed="false">
      <c r="A20" s="17" t="n">
        <v>4930973</v>
      </c>
    </row>
    <row r="21" customFormat="false" ht="15.75" hidden="false" customHeight="false" outlineLevel="0" collapsed="false">
      <c r="A21" s="16" t="s">
        <v>258</v>
      </c>
    </row>
    <row r="22" customFormat="false" ht="15.75" hidden="false" customHeight="false" outlineLevel="0" collapsed="false">
      <c r="A22" s="17" t="n">
        <v>9881513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1" t="s">
        <v>45</v>
      </c>
      <c r="B1" s="11" t="s">
        <v>46</v>
      </c>
      <c r="C1" s="11" t="s">
        <v>47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</row>
    <row r="2" customFormat="false" ht="15.75" hidden="false" customHeight="false" outlineLevel="0" collapsed="false">
      <c r="A2" s="24" t="s">
        <v>259</v>
      </c>
      <c r="B2" s="24" t="s">
        <v>260</v>
      </c>
      <c r="C2" s="24" t="s">
        <v>261</v>
      </c>
      <c r="D2" s="24" t="s">
        <v>262</v>
      </c>
      <c r="E2" s="24" t="s">
        <v>263</v>
      </c>
      <c r="F2" s="24" t="s">
        <v>264</v>
      </c>
      <c r="G2" s="24" t="s">
        <v>265</v>
      </c>
      <c r="H2" s="25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266</v>
      </c>
    </row>
    <row r="2" customFormat="false" ht="15.75" hidden="false" customHeight="false" outlineLevel="0" collapsed="false">
      <c r="A2" s="16" t="s">
        <v>115</v>
      </c>
    </row>
    <row r="3" customFormat="false" ht="15.75" hidden="false" customHeight="false" outlineLevel="0" collapsed="false">
      <c r="A3" s="16" t="s">
        <v>267</v>
      </c>
    </row>
    <row r="4" customFormat="false" ht="15.75" hidden="false" customHeight="false" outlineLevel="0" collapsed="false">
      <c r="A4" s="17" t="n">
        <v>71249</v>
      </c>
    </row>
    <row r="5" customFormat="false" ht="15.75" hidden="false" customHeight="false" outlineLevel="0" collapsed="false">
      <c r="A5" s="16" t="s">
        <v>268</v>
      </c>
    </row>
    <row r="6" customFormat="false" ht="15.75" hidden="false" customHeight="false" outlineLevel="0" collapsed="false">
      <c r="A6" s="17" t="n">
        <v>72300</v>
      </c>
    </row>
    <row r="7" customFormat="false" ht="15.75" hidden="false" customHeight="false" outlineLevel="0" collapsed="false">
      <c r="A7" s="16" t="s">
        <v>269</v>
      </c>
    </row>
    <row r="8" customFormat="false" ht="15.75" hidden="false" customHeight="false" outlineLevel="0" collapsed="false">
      <c r="A8" s="17" t="n">
        <v>141382</v>
      </c>
    </row>
    <row r="9" customFormat="false" ht="15.75" hidden="false" customHeight="false" outlineLevel="0" collapsed="false">
      <c r="A9" s="16" t="s">
        <v>270</v>
      </c>
    </row>
    <row r="10" customFormat="false" ht="15.75" hidden="false" customHeight="false" outlineLevel="0" collapsed="false">
      <c r="A10" s="17" t="n">
        <v>211516</v>
      </c>
    </row>
    <row r="11" customFormat="false" ht="15.75" hidden="false" customHeight="false" outlineLevel="0" collapsed="false">
      <c r="A11" s="16" t="s">
        <v>271</v>
      </c>
    </row>
    <row r="12" customFormat="false" ht="15.75" hidden="false" customHeight="false" outlineLevel="0" collapsed="false">
      <c r="A12" s="17" t="n">
        <v>283876</v>
      </c>
    </row>
    <row r="13" customFormat="false" ht="15.75" hidden="false" customHeight="false" outlineLevel="0" collapsed="false">
      <c r="A13" s="15" t="s">
        <v>117</v>
      </c>
    </row>
    <row r="14" customFormat="false" ht="15.75" hidden="false" customHeight="false" outlineLevel="0" collapsed="false">
      <c r="A14" s="16" t="s">
        <v>115</v>
      </c>
    </row>
    <row r="15" customFormat="false" ht="15.75" hidden="false" customHeight="false" outlineLevel="0" collapsed="false">
      <c r="A15" s="16" t="s">
        <v>272</v>
      </c>
    </row>
    <row r="16" customFormat="false" ht="15.75" hidden="false" customHeight="false" outlineLevel="0" collapsed="false">
      <c r="A16" s="17" t="n">
        <v>16804</v>
      </c>
    </row>
    <row r="17" customFormat="false" ht="15.75" hidden="false" customHeight="false" outlineLevel="0" collapsed="false">
      <c r="A17" s="16" t="s">
        <v>273</v>
      </c>
    </row>
    <row r="18" customFormat="false" ht="15.75" hidden="false" customHeight="false" outlineLevel="0" collapsed="false">
      <c r="A18" s="17" t="n">
        <v>82969</v>
      </c>
    </row>
    <row r="19" customFormat="false" ht="15.75" hidden="false" customHeight="false" outlineLevel="0" collapsed="false">
      <c r="A19" s="16" t="s">
        <v>274</v>
      </c>
    </row>
    <row r="20" customFormat="false" ht="15.75" hidden="false" customHeight="false" outlineLevel="0" collapsed="false">
      <c r="A20" s="17" t="n">
        <v>166987</v>
      </c>
    </row>
    <row r="21" customFormat="false" ht="15.75" hidden="false" customHeight="false" outlineLevel="0" collapsed="false">
      <c r="A21" s="16" t="s">
        <v>275</v>
      </c>
    </row>
    <row r="22" customFormat="false" ht="15.75" hidden="false" customHeight="false" outlineLevel="0" collapsed="false">
      <c r="A22" s="17" t="n">
        <v>261507</v>
      </c>
    </row>
    <row r="23" customFormat="false" ht="15.75" hidden="false" customHeight="false" outlineLevel="0" collapsed="false">
      <c r="A23" s="16" t="s">
        <v>276</v>
      </c>
    </row>
    <row r="24" customFormat="false" ht="15.75" hidden="false" customHeight="false" outlineLevel="0" collapsed="false">
      <c r="A24" s="17" t="n">
        <v>345525</v>
      </c>
    </row>
    <row r="25" customFormat="false" ht="15.75" hidden="false" customHeight="false" outlineLevel="0" collapsed="false">
      <c r="A25" s="16" t="s">
        <v>277</v>
      </c>
    </row>
    <row r="26" customFormat="false" ht="15.75" hidden="false" customHeight="false" outlineLevel="0" collapsed="false">
      <c r="A26" s="17" t="n">
        <v>503059</v>
      </c>
    </row>
    <row r="27" customFormat="false" ht="15.75" hidden="false" customHeight="false" outlineLevel="0" collapsed="false">
      <c r="A27" s="16" t="s">
        <v>278</v>
      </c>
    </row>
    <row r="28" customFormat="false" ht="15.75" hidden="false" customHeight="false" outlineLevel="0" collapsed="false">
      <c r="A28" s="17" t="n">
        <v>839131</v>
      </c>
    </row>
    <row r="29" customFormat="false" ht="15.75" hidden="false" customHeight="false" outlineLevel="0" collapsed="false">
      <c r="A29" s="16" t="s">
        <v>279</v>
      </c>
    </row>
    <row r="30" customFormat="false" ht="15.75" hidden="false" customHeight="false" outlineLevel="0" collapsed="false">
      <c r="A30" s="17" t="n">
        <v>1679311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0" t="s">
        <v>45</v>
      </c>
      <c r="B1" s="20" t="s">
        <v>46</v>
      </c>
      <c r="C1" s="20" t="s">
        <v>47</v>
      </c>
      <c r="D1" s="20" t="s">
        <v>48</v>
      </c>
      <c r="E1" s="20" t="s">
        <v>49</v>
      </c>
      <c r="F1" s="20" t="s">
        <v>50</v>
      </c>
      <c r="G1" s="20" t="s">
        <v>51</v>
      </c>
      <c r="H1" s="20" t="s">
        <v>52</v>
      </c>
    </row>
    <row r="2" customFormat="false" ht="15.75" hidden="false" customHeight="false" outlineLevel="0" collapsed="false">
      <c r="A2" s="22" t="s">
        <v>280</v>
      </c>
      <c r="B2" s="22" t="s">
        <v>281</v>
      </c>
      <c r="C2" s="22" t="s">
        <v>282</v>
      </c>
      <c r="D2" s="22" t="s">
        <v>283</v>
      </c>
      <c r="E2" s="22" t="s">
        <v>284</v>
      </c>
      <c r="F2" s="22" t="s">
        <v>285</v>
      </c>
      <c r="G2" s="22" t="s">
        <v>286</v>
      </c>
      <c r="H2" s="22" t="s">
        <v>60</v>
      </c>
    </row>
    <row r="3" customFormat="false" ht="15.75" hidden="false" customHeight="false" outlineLevel="0" collapsed="false">
      <c r="A3" s="22" t="s">
        <v>287</v>
      </c>
      <c r="B3" s="22" t="s">
        <v>281</v>
      </c>
      <c r="C3" s="22" t="s">
        <v>288</v>
      </c>
      <c r="D3" s="22" t="s">
        <v>289</v>
      </c>
      <c r="E3" s="22" t="s">
        <v>290</v>
      </c>
      <c r="F3" s="22" t="s">
        <v>291</v>
      </c>
      <c r="G3" s="22" t="s">
        <v>292</v>
      </c>
      <c r="H3" s="22" t="s">
        <v>60</v>
      </c>
    </row>
    <row r="4" customFormat="false" ht="15.75" hidden="false" customHeight="false" outlineLevel="0" collapsed="false">
      <c r="A4" s="22" t="s">
        <v>293</v>
      </c>
      <c r="B4" s="22" t="s">
        <v>281</v>
      </c>
      <c r="C4" s="22" t="s">
        <v>294</v>
      </c>
      <c r="D4" s="22" t="s">
        <v>295</v>
      </c>
      <c r="E4" s="22" t="s">
        <v>296</v>
      </c>
      <c r="F4" s="22" t="s">
        <v>297</v>
      </c>
      <c r="G4" s="22" t="s">
        <v>298</v>
      </c>
      <c r="H4" s="22" t="s">
        <v>60</v>
      </c>
    </row>
    <row r="5" customFormat="false" ht="15.75" hidden="false" customHeight="false" outlineLevel="0" collapsed="false">
      <c r="A5" s="22" t="s">
        <v>299</v>
      </c>
      <c r="B5" s="22" t="s">
        <v>281</v>
      </c>
      <c r="C5" s="22" t="s">
        <v>300</v>
      </c>
      <c r="D5" s="22" t="s">
        <v>301</v>
      </c>
      <c r="E5" s="22" t="s">
        <v>302</v>
      </c>
      <c r="F5" s="22" t="s">
        <v>303</v>
      </c>
      <c r="G5" s="22" t="s">
        <v>304</v>
      </c>
      <c r="H5" s="22" t="s">
        <v>60</v>
      </c>
    </row>
    <row r="6" customFormat="false" ht="15.75" hidden="false" customHeight="false" outlineLevel="0" collapsed="false">
      <c r="A6" s="22" t="s">
        <v>305</v>
      </c>
      <c r="B6" s="22" t="s">
        <v>281</v>
      </c>
      <c r="C6" s="22" t="s">
        <v>306</v>
      </c>
      <c r="D6" s="22" t="s">
        <v>307</v>
      </c>
      <c r="E6" s="22" t="s">
        <v>308</v>
      </c>
      <c r="F6" s="22" t="s">
        <v>309</v>
      </c>
      <c r="G6" s="22" t="s">
        <v>310</v>
      </c>
      <c r="H6" s="22" t="s">
        <v>60</v>
      </c>
    </row>
    <row r="7" customFormat="false" ht="15.75" hidden="false" customHeight="false" outlineLevel="0" collapsed="false">
      <c r="A7" s="22" t="s">
        <v>311</v>
      </c>
      <c r="B7" s="22" t="s">
        <v>281</v>
      </c>
      <c r="C7" s="22" t="s">
        <v>312</v>
      </c>
      <c r="D7" s="22" t="s">
        <v>313</v>
      </c>
      <c r="E7" s="22" t="s">
        <v>314</v>
      </c>
      <c r="F7" s="22" t="s">
        <v>315</v>
      </c>
      <c r="G7" s="22" t="s">
        <v>316</v>
      </c>
      <c r="H7" s="22" t="s">
        <v>60</v>
      </c>
    </row>
    <row r="8" customFormat="false" ht="15.75" hidden="false" customHeight="false" outlineLevel="0" collapsed="false">
      <c r="A8" s="22" t="s">
        <v>317</v>
      </c>
      <c r="B8" s="22" t="s">
        <v>281</v>
      </c>
      <c r="C8" s="22" t="s">
        <v>318</v>
      </c>
      <c r="D8" s="22" t="s">
        <v>319</v>
      </c>
      <c r="E8" s="22" t="s">
        <v>320</v>
      </c>
      <c r="F8" s="22" t="s">
        <v>321</v>
      </c>
      <c r="G8" s="22" t="s">
        <v>322</v>
      </c>
      <c r="H8" s="22" t="s">
        <v>60</v>
      </c>
    </row>
    <row r="9" customFormat="false" ht="15.75" hidden="false" customHeight="false" outlineLevel="0" collapsed="false">
      <c r="A9" s="22" t="s">
        <v>323</v>
      </c>
      <c r="B9" s="22" t="s">
        <v>281</v>
      </c>
      <c r="C9" s="22" t="s">
        <v>324</v>
      </c>
      <c r="D9" s="22" t="s">
        <v>325</v>
      </c>
      <c r="E9" s="22" t="s">
        <v>326</v>
      </c>
      <c r="F9" s="22" t="s">
        <v>327</v>
      </c>
      <c r="G9" s="22" t="s">
        <v>328</v>
      </c>
      <c r="H9" s="2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0" t="s">
        <v>45</v>
      </c>
      <c r="B1" s="20" t="s">
        <v>46</v>
      </c>
      <c r="C1" s="20" t="s">
        <v>47</v>
      </c>
      <c r="D1" s="20" t="s">
        <v>48</v>
      </c>
      <c r="E1" s="20" t="s">
        <v>49</v>
      </c>
      <c r="F1" s="20" t="s">
        <v>50</v>
      </c>
      <c r="G1" s="20" t="s">
        <v>51</v>
      </c>
      <c r="H1" s="20" t="s">
        <v>52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customFormat="false" ht="15.75" hidden="false" customHeight="false" outlineLevel="0" collapsed="false">
      <c r="A2" s="22" t="s">
        <v>329</v>
      </c>
      <c r="B2" s="22" t="s">
        <v>330</v>
      </c>
      <c r="C2" s="22" t="s">
        <v>331</v>
      </c>
      <c r="D2" s="22" t="s">
        <v>332</v>
      </c>
      <c r="E2" s="22" t="s">
        <v>333</v>
      </c>
      <c r="F2" s="22" t="s">
        <v>334</v>
      </c>
      <c r="G2" s="22" t="s">
        <v>335</v>
      </c>
      <c r="H2" s="22" t="s">
        <v>60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customFormat="false" ht="15.75" hidden="false" customHeight="false" outlineLevel="0" collapsed="false">
      <c r="A3" s="22" t="s">
        <v>336</v>
      </c>
      <c r="B3" s="22" t="s">
        <v>330</v>
      </c>
      <c r="C3" s="22" t="s">
        <v>337</v>
      </c>
      <c r="D3" s="22" t="s">
        <v>338</v>
      </c>
      <c r="E3" s="22" t="s">
        <v>339</v>
      </c>
      <c r="F3" s="22" t="s">
        <v>340</v>
      </c>
      <c r="G3" s="22" t="s">
        <v>341</v>
      </c>
      <c r="H3" s="22" t="s">
        <v>60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customFormat="false" ht="15.75" hidden="false" customHeight="false" outlineLevel="0" collapsed="false">
      <c r="A4" s="22" t="s">
        <v>342</v>
      </c>
      <c r="B4" s="22" t="s">
        <v>330</v>
      </c>
      <c r="C4" s="22" t="s">
        <v>343</v>
      </c>
      <c r="D4" s="22" t="s">
        <v>344</v>
      </c>
      <c r="E4" s="22" t="s">
        <v>345</v>
      </c>
      <c r="F4" s="22" t="s">
        <v>346</v>
      </c>
      <c r="G4" s="22" t="s">
        <v>347</v>
      </c>
      <c r="H4" s="22" t="s">
        <v>60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customFormat="false" ht="15.75" hidden="false" customHeight="false" outlineLevel="0" collapsed="false">
      <c r="A5" s="22" t="s">
        <v>348</v>
      </c>
      <c r="B5" s="22" t="s">
        <v>330</v>
      </c>
      <c r="C5" s="22" t="s">
        <v>349</v>
      </c>
      <c r="D5" s="22" t="s">
        <v>350</v>
      </c>
      <c r="E5" s="22" t="s">
        <v>351</v>
      </c>
      <c r="F5" s="22" t="s">
        <v>352</v>
      </c>
      <c r="G5" s="22" t="s">
        <v>353</v>
      </c>
      <c r="H5" s="22" t="s">
        <v>60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customFormat="false" ht="15.75" hidden="false" customHeight="false" outlineLevel="0" collapsed="false">
      <c r="A6" s="22" t="s">
        <v>354</v>
      </c>
      <c r="B6" s="22" t="s">
        <v>330</v>
      </c>
      <c r="C6" s="22" t="s">
        <v>355</v>
      </c>
      <c r="D6" s="22" t="s">
        <v>356</v>
      </c>
      <c r="E6" s="22" t="s">
        <v>357</v>
      </c>
      <c r="F6" s="22" t="s">
        <v>358</v>
      </c>
      <c r="G6" s="22" t="s">
        <v>359</v>
      </c>
      <c r="H6" s="22" t="s">
        <v>60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customFormat="false" ht="15.75" hidden="false" customHeight="false" outlineLevel="0" collapsed="false">
      <c r="A7" s="22" t="s">
        <v>360</v>
      </c>
      <c r="B7" s="22" t="s">
        <v>330</v>
      </c>
      <c r="C7" s="22" t="s">
        <v>361</v>
      </c>
      <c r="D7" s="22" t="s">
        <v>362</v>
      </c>
      <c r="E7" s="22" t="s">
        <v>363</v>
      </c>
      <c r="F7" s="22" t="s">
        <v>364</v>
      </c>
      <c r="G7" s="22" t="s">
        <v>365</v>
      </c>
      <c r="H7" s="22" t="s">
        <v>60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customFormat="false" ht="15.75" hidden="false" customHeight="false" outlineLevel="0" collapsed="false">
      <c r="A8" s="22" t="s">
        <v>366</v>
      </c>
      <c r="B8" s="22" t="s">
        <v>330</v>
      </c>
      <c r="C8" s="22" t="s">
        <v>367</v>
      </c>
      <c r="D8" s="22" t="s">
        <v>368</v>
      </c>
      <c r="E8" s="22" t="s">
        <v>369</v>
      </c>
      <c r="F8" s="22" t="s">
        <v>370</v>
      </c>
      <c r="G8" s="22" t="s">
        <v>371</v>
      </c>
      <c r="H8" s="22" t="s">
        <v>60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customFormat="false" ht="15.75" hidden="false" customHeight="fals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customFormat="false" ht="15.75" hidden="false" customHeight="false" outlineLevel="0" collapsed="false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customFormat="false" ht="15.75" hidden="false" customHeight="fals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customFormat="false" ht="15.75" hidden="false" customHeight="false" outlineLevel="0" collapsed="false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customFormat="false" ht="15.75" hidden="false" customHeight="fals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customFormat="false" ht="15.75" hidden="false" customHeight="false" outlineLevel="0" collapsed="false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customFormat="false" ht="15.75" hidden="false" customHeight="fals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customFormat="false" ht="15.75" hidden="false" customHeight="fals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customFormat="false" ht="15.75" hidden="false" customHeight="fals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customFormat="false" ht="15.75" hidden="false" customHeight="fals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customFormat="false" ht="15.75" hidden="false" customHeight="fals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customFormat="false" ht="15.75" hidden="false" customHeight="false" outlineLevel="0" collapsed="false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customFormat="false" ht="15.75" hidden="false" customHeight="fals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customFormat="false" ht="15.75" hidden="false" customHeight="false" outlineLevel="0" collapsed="false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customFormat="false" ht="15.75" hidden="false" customHeight="fals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customFormat="false" ht="15.75" hidden="false" customHeight="false" outlineLevel="0" collapsed="false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customFormat="false" ht="15.75" hidden="false" customHeight="fals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customFormat="false" ht="15.75" hidden="false" customHeight="fals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customFormat="false" ht="15.75" hidden="false" customHeight="fals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customFormat="false" ht="15.75" hidden="false" customHeight="false" outlineLevel="0" collapsed="false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customFormat="false" ht="15.75" hidden="false" customHeight="fals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customFormat="false" ht="15.75" hidden="false" customHeight="false" outlineLevel="0" collapsed="false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customFormat="false" ht="15.75" hidden="false" customHeight="fals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customFormat="false" ht="15.75" hidden="false" customHeight="false" outlineLevel="0" collapsed="false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customFormat="false" ht="15.75" hidden="false" customHeight="fals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customFormat="false" ht="15.75" hidden="false" customHeight="fals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customFormat="false" ht="15.75" hidden="false" customHeight="fals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customFormat="false" ht="15.75" hidden="false" customHeight="false" outlineLevel="0" collapsed="false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customFormat="false" ht="15.75" hidden="false" customHeight="fals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customFormat="false" ht="15.75" hidden="false" customHeight="fals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customFormat="false" ht="15.75" hidden="false" customHeight="fals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customFormat="false" ht="15.75" hidden="false" customHeight="false" outlineLevel="0" collapsed="false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customFormat="false" ht="15.75" hidden="false" customHeight="fals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customFormat="false" ht="15.75" hidden="false" customHeight="false" outlineLevel="0" collapsed="false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customFormat="false" ht="15.75" hidden="false" customHeight="fals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customFormat="false" ht="15.75" hidden="false" customHeight="false" outlineLevel="0" collapsed="false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customFormat="false" ht="15.75" hidden="false" customHeight="fals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customFormat="false" ht="15.75" hidden="false" customHeight="fals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customFormat="false" ht="15.75" hidden="false" customHeight="fals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customFormat="false" ht="15.75" hidden="false" customHeight="fals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customFormat="false" ht="15.75" hidden="false" customHeight="fals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customFormat="false" ht="15.75" hidden="false" customHeight="fals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customFormat="false" ht="15.75" hidden="false" customHeight="fals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customFormat="false" ht="15.75" hidden="false" customHeight="fals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customFormat="false" ht="15.75" hidden="false" customHeight="fals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customFormat="false" ht="15.75" hidden="false" customHeight="fals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customFormat="false" ht="15.75" hidden="false" customHeight="fals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customFormat="false" ht="15.75" hidden="false" customHeight="fals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customFormat="false" ht="15.75" hidden="false" customHeight="fals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customFormat="false" ht="15.75" hidden="false" customHeight="fals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customFormat="false" ht="15.75" hidden="false" customHeight="fals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customFormat="false" ht="15.75" hidden="false" customHeight="fals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customFormat="false" ht="15.75" hidden="false" customHeight="fals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customFormat="false" ht="15.75" hidden="false" customHeight="fals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customFormat="false" ht="15.75" hidden="false" customHeight="fals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customFormat="false" ht="15.75" hidden="false" customHeight="fals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customFormat="false" ht="15.75" hidden="false" customHeight="fals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customFormat="false" ht="15.75" hidden="false" customHeight="fals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customFormat="false" ht="15.75" hidden="false" customHeight="fals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customFormat="false" ht="15.75" hidden="false" customHeight="fals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customFormat="false" ht="15.75" hidden="false" customHeight="fals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customFormat="false" ht="15.75" hidden="false" customHeight="fals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customFormat="false" ht="15.75" hidden="false" customHeight="fals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customFormat="false" ht="15.75" hidden="false" customHeight="fals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customFormat="false" ht="15.75" hidden="false" customHeight="fals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customFormat="false" ht="15.75" hidden="false" customHeight="fals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customFormat="false" ht="15.75" hidden="false" customHeight="fals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customFormat="false" ht="15.75" hidden="false" customHeight="fals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customFormat="false" ht="15.75" hidden="false" customHeight="fals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customFormat="false" ht="15.75" hidden="false" customHeight="fals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customFormat="false" ht="15.75" hidden="false" customHeight="fals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customFormat="false" ht="15.75" hidden="false" customHeight="fals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customFormat="false" ht="15.75" hidden="false" customHeight="fals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customFormat="false" ht="15.75" hidden="false" customHeight="fals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customFormat="false" ht="15.75" hidden="false" customHeight="fals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customFormat="false" ht="15.75" hidden="false" customHeight="false" outlineLevel="0" collapsed="false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customFormat="false" ht="15.75" hidden="false" customHeight="fals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customFormat="false" ht="15.75" hidden="false" customHeight="false" outlineLevel="0" collapsed="false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customFormat="false" ht="15.75" hidden="false" customHeight="fals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customFormat="false" ht="15.75" hidden="false" customHeight="false" outlineLevel="0" collapsed="false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customFormat="false" ht="15.75" hidden="false" customHeight="fals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customFormat="false" ht="15.75" hidden="false" customHeight="false" outlineLevel="0" collapsed="false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customFormat="false" ht="15.75" hidden="false" customHeight="fals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customFormat="false" ht="15.75" hidden="false" customHeight="false" outlineLevel="0" collapsed="false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customFormat="false" ht="15.75" hidden="false" customHeight="fals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customFormat="false" ht="15.75" hidden="false" customHeight="false" outlineLevel="0" collapsed="false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customFormat="false" ht="15.75" hidden="false" customHeight="false" outlineLevel="0" collapsed="false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customFormat="false" ht="15.75" hidden="false" customHeight="false" outlineLevel="0" collapsed="false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customFormat="false" ht="15.75" hidden="false" customHeight="fals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customFormat="false" ht="15.75" hidden="false" customHeight="false" outlineLevel="0" collapsed="false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customFormat="false" ht="15.75" hidden="false" customHeight="fals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customFormat="false" ht="15.75" hidden="false" customHeight="false" outlineLevel="0" collapsed="false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customFormat="false" ht="15.75" hidden="false" customHeight="fals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customFormat="false" ht="15.75" hidden="false" customHeight="false" outlineLevel="0" collapsed="false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customFormat="false" ht="15.75" hidden="false" customHeight="false" outlineLevel="0" collapsed="false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customFormat="false" ht="15.75" hidden="false" customHeight="false" outlineLevel="0" collapsed="false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customFormat="false" ht="15.75" hidden="false" customHeight="false" outlineLevel="0" collapsed="false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customFormat="false" ht="15.75" hidden="false" customHeight="false" outlineLevel="0" collapsed="false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customFormat="false" ht="15.75" hidden="false" customHeight="false" outlineLevel="0" collapsed="false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customFormat="false" ht="15.75" hidden="false" customHeight="false" outlineLevel="0" collapsed="false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customFormat="false" ht="15.75" hidden="false" customHeight="false" outlineLevel="0" collapsed="false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customFormat="false" ht="15.75" hidden="false" customHeight="false" outlineLevel="0" collapsed="false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customFormat="false" ht="15.75" hidden="false" customHeight="false" outlineLevel="0" collapsed="false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customFormat="false" ht="15.75" hidden="false" customHeight="false" outlineLevel="0" collapsed="false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customFormat="false" ht="15.75" hidden="false" customHeight="fals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customFormat="false" ht="15.75" hidden="false" customHeight="false" outlineLevel="0" collapsed="false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customFormat="false" ht="15.75" hidden="false" customHeight="false" outlineLevel="0" collapsed="false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customFormat="false" ht="15.75" hidden="false" customHeight="false" outlineLevel="0" collapsed="false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customFormat="false" ht="15.75" hidden="false" customHeight="false" outlineLevel="0" collapsed="false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customFormat="false" ht="15.75" hidden="false" customHeight="false" outlineLevel="0" collapsed="false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customFormat="false" ht="15.75" hidden="false" customHeight="false" outlineLevel="0" collapsed="false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customFormat="false" ht="15.75" hidden="false" customHeight="false" outlineLevel="0" collapsed="false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customFormat="false" ht="15.75" hidden="false" customHeight="false" outlineLevel="0" collapsed="false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customFormat="false" ht="15.75" hidden="false" customHeight="false" outlineLevel="0" collapsed="false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customFormat="false" ht="15.75" hidden="false" customHeight="false" outlineLevel="0" collapsed="false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customFormat="false" ht="15.75" hidden="false" customHeight="false" outlineLevel="0" collapsed="false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customFormat="false" ht="15.75" hidden="false" customHeight="fals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customFormat="false" ht="15.75" hidden="false" customHeight="fals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customFormat="false" ht="15.75" hidden="false" customHeight="fals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customFormat="false" ht="15.75" hidden="false" customHeight="fals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customFormat="false" ht="15.75" hidden="false" customHeight="fals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customFormat="false" ht="15.75" hidden="false" customHeight="fals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customFormat="false" ht="15.75" hidden="false" customHeight="fals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customFormat="false" ht="15.75" hidden="false" customHeight="fals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customFormat="false" ht="15.75" hidden="false" customHeight="fals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customFormat="false" ht="15.75" hidden="false" customHeight="fals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customFormat="false" ht="15.75" hidden="false" customHeight="fals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customFormat="false" ht="15.75" hidden="false" customHeight="fals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customFormat="false" ht="15.75" hidden="false" customHeight="fals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customFormat="false" ht="15.75" hidden="false" customHeight="fals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customFormat="false" ht="15.75" hidden="false" customHeight="fals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customFormat="false" ht="15.75" hidden="false" customHeight="fals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customFormat="false" ht="15.75" hidden="false" customHeight="fals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customFormat="false" ht="15.75" hidden="false" customHeight="fals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customFormat="false" ht="15.75" hidden="false" customHeight="fals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customFormat="false" ht="15.75" hidden="false" customHeight="fals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customFormat="false" ht="15.75" hidden="false" customHeight="fals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customFormat="false" ht="15.75" hidden="false" customHeight="fals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customFormat="false" ht="15.75" hidden="false" customHeight="fals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customFormat="false" ht="15.75" hidden="false" customHeight="fals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customFormat="false" ht="15.75" hidden="false" customHeight="fals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customFormat="false" ht="15.75" hidden="false" customHeight="fals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customFormat="false" ht="15.75" hidden="false" customHeight="fals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customFormat="false" ht="15.75" hidden="false" customHeight="fals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customFormat="false" ht="15.75" hidden="false" customHeight="fals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customFormat="false" ht="15.75" hidden="false" customHeight="fals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customFormat="false" ht="15.75" hidden="false" customHeight="fals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customFormat="false" ht="15.75" hidden="false" customHeight="fals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customFormat="false" ht="15.75" hidden="false" customHeight="fals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customFormat="false" ht="15.75" hidden="false" customHeight="fals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customFormat="false" ht="15.75" hidden="false" customHeight="fals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customFormat="false" ht="15.75" hidden="false" customHeight="fals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customFormat="false" ht="15.75" hidden="false" customHeight="fals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customFormat="false" ht="15.75" hidden="false" customHeight="fals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customFormat="false" ht="15.75" hidden="false" customHeight="fals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customFormat="false" ht="15.75" hidden="false" customHeight="fals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customFormat="false" ht="15.75" hidden="false" customHeight="fals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customFormat="false" ht="15.75" hidden="false" customHeight="fals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customFormat="false" ht="15.75" hidden="false" customHeight="fals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customFormat="false" ht="15.75" hidden="false" customHeight="fals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customFormat="false" ht="15.75" hidden="false" customHeight="fals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customFormat="false" ht="15.75" hidden="false" customHeight="fals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customFormat="false" ht="15.75" hidden="false" customHeight="fals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customFormat="false" ht="15.75" hidden="false" customHeight="fals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customFormat="false" ht="15.75" hidden="false" customHeight="fals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customFormat="false" ht="15.75" hidden="false" customHeight="fals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customFormat="false" ht="15.75" hidden="false" customHeight="fals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customFormat="false" ht="15.75" hidden="false" customHeight="fals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customFormat="false" ht="15.75" hidden="false" customHeight="fals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customFormat="false" ht="15.75" hidden="false" customHeight="fals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customFormat="false" ht="15.75" hidden="false" customHeight="fals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customFormat="false" ht="15.75" hidden="false" customHeight="fals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customFormat="false" ht="15.75" hidden="false" customHeight="fals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customFormat="false" ht="15.75" hidden="false" customHeight="fals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customFormat="false" ht="15.75" hidden="false" customHeight="fals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customFormat="false" ht="15.75" hidden="false" customHeight="fals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customFormat="false" ht="15.75" hidden="false" customHeight="fals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customFormat="false" ht="15.75" hidden="false" customHeight="fals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customFormat="false" ht="15.75" hidden="false" customHeight="fals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customFormat="false" ht="15.75" hidden="false" customHeight="fals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customFormat="false" ht="15.75" hidden="false" customHeight="fals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customFormat="false" ht="15.75" hidden="false" customHeight="fals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customFormat="false" ht="15.75" hidden="false" customHeight="fals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customFormat="false" ht="15.75" hidden="false" customHeight="fals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customFormat="false" ht="15.75" hidden="false" customHeight="fals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customFormat="false" ht="15.75" hidden="false" customHeight="fals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customFormat="false" ht="15.75" hidden="false" customHeight="fals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customFormat="false" ht="15.75" hidden="false" customHeight="fals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customFormat="false" ht="15.75" hidden="false" customHeight="fals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customFormat="false" ht="15.75" hidden="false" customHeight="fals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customFormat="false" ht="15.75" hidden="false" customHeight="fals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customFormat="false" ht="15.75" hidden="false" customHeight="fals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customFormat="false" ht="15.75" hidden="false" customHeight="fals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customFormat="false" ht="15.75" hidden="false" customHeight="fals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customFormat="false" ht="15.75" hidden="false" customHeight="false" outlineLevel="0" collapsed="false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customFormat="false" ht="15.75" hidden="false" customHeight="false" outlineLevel="0" collapsed="false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customFormat="false" ht="15.75" hidden="false" customHeight="false" outlineLevel="0" collapsed="false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customFormat="false" ht="15.75" hidden="false" customHeight="false" outlineLevel="0" collapsed="false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customFormat="false" ht="15.75" hidden="false" customHeight="false" outlineLevel="0" collapsed="false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customFormat="false" ht="15.75" hidden="false" customHeight="false" outlineLevel="0" collapsed="false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customFormat="false" ht="15.75" hidden="false" customHeight="false" outlineLevel="0" collapsed="false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customFormat="false" ht="15.75" hidden="false" customHeight="false" outlineLevel="0" collapsed="false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customFormat="false" ht="15.75" hidden="false" customHeight="false" outlineLevel="0" collapsed="false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customFormat="false" ht="15.75" hidden="false" customHeight="false" outlineLevel="0" collapsed="false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customFormat="false" ht="15.75" hidden="false" customHeight="false" outlineLevel="0" collapsed="false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customFormat="false" ht="15.75" hidden="false" customHeight="false" outlineLevel="0" collapsed="false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customFormat="false" ht="15.75" hidden="false" customHeight="false" outlineLevel="0" collapsed="false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customFormat="false" ht="15.75" hidden="false" customHeight="false" outlineLevel="0" collapsed="false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customFormat="false" ht="15.75" hidden="false" customHeight="false" outlineLevel="0" collapsed="false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customFormat="false" ht="15.75" hidden="false" customHeight="false" outlineLevel="0" collapsed="false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customFormat="false" ht="15.75" hidden="false" customHeight="false" outlineLevel="0" collapsed="false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customFormat="false" ht="15.75" hidden="false" customHeight="false" outlineLevel="0" collapsed="false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customFormat="false" ht="15.75" hidden="false" customHeight="false" outlineLevel="0" collapsed="false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customFormat="false" ht="15.75" hidden="false" customHeight="false" outlineLevel="0" collapsed="false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customFormat="false" ht="15.75" hidden="false" customHeight="false" outlineLevel="0" collapsed="false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customFormat="false" ht="15.75" hidden="false" customHeight="false" outlineLevel="0" collapsed="false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customFormat="false" ht="15.75" hidden="false" customHeight="false" outlineLevel="0" collapsed="false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customFormat="false" ht="15.75" hidden="false" customHeight="false" outlineLevel="0" collapsed="false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customFormat="false" ht="15.75" hidden="false" customHeight="false" outlineLevel="0" collapsed="false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customFormat="false" ht="15.75" hidden="false" customHeight="false" outlineLevel="0" collapsed="false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customFormat="false" ht="15.75" hidden="false" customHeight="false" outlineLevel="0" collapsed="false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customFormat="false" ht="15.75" hidden="false" customHeight="false" outlineLevel="0" collapsed="false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customFormat="false" ht="15.75" hidden="false" customHeight="false" outlineLevel="0" collapsed="false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customFormat="false" ht="15.75" hidden="false" customHeight="false" outlineLevel="0" collapsed="false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customFormat="false" ht="15.75" hidden="false" customHeight="false" outlineLevel="0" collapsed="false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customFormat="false" ht="15.75" hidden="false" customHeight="false" outlineLevel="0" collapsed="false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customFormat="false" ht="15.75" hidden="false" customHeight="false" outlineLevel="0" collapsed="false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customFormat="false" ht="15.75" hidden="false" customHeight="false" outlineLevel="0" collapsed="false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customFormat="false" ht="15.75" hidden="false" customHeight="false" outlineLevel="0" collapsed="false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customFormat="false" ht="15.75" hidden="false" customHeight="false" outlineLevel="0" collapsed="false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customFormat="false" ht="15.75" hidden="false" customHeight="false" outlineLevel="0" collapsed="false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customFormat="false" ht="15.75" hidden="false" customHeight="false" outlineLevel="0" collapsed="false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customFormat="false" ht="15.75" hidden="false" customHeight="false" outlineLevel="0" collapsed="false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customFormat="false" ht="15.75" hidden="false" customHeight="false" outlineLevel="0" collapsed="false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customFormat="false" ht="15.75" hidden="false" customHeight="false" outlineLevel="0" collapsed="false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customFormat="false" ht="15.75" hidden="false" customHeight="false" outlineLevel="0" collapsed="false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customFormat="false" ht="15.75" hidden="false" customHeight="false" outlineLevel="0" collapsed="false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customFormat="false" ht="15.75" hidden="false" customHeight="false" outlineLevel="0" collapsed="false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customFormat="false" ht="15.75" hidden="false" customHeight="false" outlineLevel="0" collapsed="false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customFormat="false" ht="15.75" hidden="false" customHeight="false" outlineLevel="0" collapsed="false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customFormat="false" ht="15.75" hidden="false" customHeight="false" outlineLevel="0" collapsed="false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customFormat="false" ht="15.75" hidden="false" customHeight="false" outlineLevel="0" collapsed="false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customFormat="false" ht="15.75" hidden="false" customHeight="false" outlineLevel="0" collapsed="false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customFormat="false" ht="15.75" hidden="false" customHeight="false" outlineLevel="0" collapsed="false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customFormat="false" ht="15.75" hidden="false" customHeight="false" outlineLevel="0" collapsed="false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customFormat="false" ht="15.75" hidden="false" customHeight="false" outlineLevel="0" collapsed="false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customFormat="false" ht="15.75" hidden="false" customHeight="false" outlineLevel="0" collapsed="false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customFormat="false" ht="15.75" hidden="false" customHeight="false" outlineLevel="0" collapsed="false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customFormat="false" ht="15.75" hidden="false" customHeight="false" outlineLevel="0" collapsed="false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customFormat="false" ht="15.75" hidden="false" customHeight="false" outlineLevel="0" collapsed="false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customFormat="false" ht="15.75" hidden="false" customHeight="false" outlineLevel="0" collapsed="false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customFormat="false" ht="15.75" hidden="false" customHeight="false" outlineLevel="0" collapsed="false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customFormat="false" ht="15.75" hidden="false" customHeight="false" outlineLevel="0" collapsed="false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customFormat="false" ht="15.75" hidden="false" customHeight="false" outlineLevel="0" collapsed="false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customFormat="false" ht="15.75" hidden="false" customHeight="false" outlineLevel="0" collapsed="false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customFormat="false" ht="15.75" hidden="false" customHeight="false" outlineLevel="0" collapsed="false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customFormat="false" ht="15.75" hidden="false" customHeight="false" outlineLevel="0" collapsed="false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customFormat="false" ht="15.75" hidden="false" customHeight="false" outlineLevel="0" collapsed="false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customFormat="false" ht="15.75" hidden="false" customHeight="false" outlineLevel="0" collapsed="false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customFormat="false" ht="15.75" hidden="false" customHeight="false" outlineLevel="0" collapsed="false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customFormat="false" ht="15.75" hidden="false" customHeight="false" outlineLevel="0" collapsed="false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customFormat="false" ht="15.75" hidden="false" customHeight="false" outlineLevel="0" collapsed="false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customFormat="false" ht="15.75" hidden="false" customHeight="false" outlineLevel="0" collapsed="false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customFormat="false" ht="15.75" hidden="false" customHeight="false" outlineLevel="0" collapsed="false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customFormat="false" ht="15.75" hidden="false" customHeight="false" outlineLevel="0" collapsed="false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customFormat="false" ht="15.75" hidden="false" customHeight="false" outlineLevel="0" collapsed="false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customFormat="false" ht="15.75" hidden="false" customHeight="false" outlineLevel="0" collapsed="false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customFormat="false" ht="15.75" hidden="false" customHeight="false" outlineLevel="0" collapsed="false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customFormat="false" ht="15.75" hidden="false" customHeight="false" outlineLevel="0" collapsed="false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customFormat="false" ht="15.75" hidden="false" customHeight="false" outlineLevel="0" collapsed="false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customFormat="false" ht="15.75" hidden="false" customHeight="false" outlineLevel="0" collapsed="false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customFormat="false" ht="15.75" hidden="false" customHeight="false" outlineLevel="0" collapsed="false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customFormat="false" ht="15.75" hidden="false" customHeight="false" outlineLevel="0" collapsed="false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customFormat="false" ht="15.75" hidden="false" customHeight="false" outlineLevel="0" collapsed="false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customFormat="false" ht="15.75" hidden="false" customHeight="false" outlineLevel="0" collapsed="false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customFormat="false" ht="15.75" hidden="false" customHeight="false" outlineLevel="0" collapsed="false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customFormat="false" ht="15.75" hidden="false" customHeight="false" outlineLevel="0" collapsed="false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customFormat="false" ht="15.75" hidden="false" customHeight="false" outlineLevel="0" collapsed="false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customFormat="false" ht="15.75" hidden="false" customHeight="false" outlineLevel="0" collapsed="false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customFormat="false" ht="15.75" hidden="false" customHeight="false" outlineLevel="0" collapsed="false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customFormat="false" ht="15.75" hidden="false" customHeight="false" outlineLevel="0" collapsed="false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customFormat="false" ht="15.75" hidden="false" customHeight="false" outlineLevel="0" collapsed="false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customFormat="false" ht="15.75" hidden="false" customHeight="false" outlineLevel="0" collapsed="false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customFormat="false" ht="15.75" hidden="false" customHeight="false" outlineLevel="0" collapsed="false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customFormat="false" ht="15.75" hidden="false" customHeight="false" outlineLevel="0" collapsed="false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customFormat="false" ht="15.75" hidden="false" customHeight="false" outlineLevel="0" collapsed="false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customFormat="false" ht="15.75" hidden="false" customHeight="false" outlineLevel="0" collapsed="false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customFormat="false" ht="15.75" hidden="false" customHeight="false" outlineLevel="0" collapsed="false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customFormat="false" ht="15.75" hidden="false" customHeight="false" outlineLevel="0" collapsed="false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customFormat="false" ht="15.75" hidden="false" customHeight="false" outlineLevel="0" collapsed="false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customFormat="false" ht="15.75" hidden="false" customHeight="false" outlineLevel="0" collapsed="false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customFormat="false" ht="15.75" hidden="false" customHeight="false" outlineLevel="0" collapsed="false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customFormat="false" ht="15.75" hidden="false" customHeight="false" outlineLevel="0" collapsed="false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customFormat="false" ht="15.75" hidden="false" customHeight="false" outlineLevel="0" collapsed="false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customFormat="false" ht="15.75" hidden="false" customHeight="false" outlineLevel="0" collapsed="false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customFormat="false" ht="15.75" hidden="false" customHeight="false" outlineLevel="0" collapsed="false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customFormat="false" ht="15.75" hidden="false" customHeight="false" outlineLevel="0" collapsed="false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customFormat="false" ht="15.75" hidden="false" customHeight="false" outlineLevel="0" collapsed="false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customFormat="false" ht="15.75" hidden="false" customHeight="false" outlineLevel="0" collapsed="false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customFormat="false" ht="15.75" hidden="false" customHeight="false" outlineLevel="0" collapsed="false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customFormat="false" ht="15.75" hidden="false" customHeight="false" outlineLevel="0" collapsed="false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customFormat="false" ht="15.75" hidden="false" customHeight="false" outlineLevel="0" collapsed="false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customFormat="false" ht="15.75" hidden="false" customHeight="false" outlineLevel="0" collapsed="false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customFormat="false" ht="15.75" hidden="false" customHeight="false" outlineLevel="0" collapsed="false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customFormat="false" ht="15.75" hidden="false" customHeight="false" outlineLevel="0" collapsed="false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customFormat="false" ht="15.75" hidden="false" customHeight="false" outlineLevel="0" collapsed="false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customFormat="false" ht="15.75" hidden="false" customHeight="false" outlineLevel="0" collapsed="false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customFormat="false" ht="15.75" hidden="false" customHeight="false" outlineLevel="0" collapsed="false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customFormat="false" ht="15.75" hidden="false" customHeight="false" outlineLevel="0" collapsed="false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customFormat="false" ht="15.75" hidden="false" customHeight="false" outlineLevel="0" collapsed="false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customFormat="false" ht="15.75" hidden="false" customHeight="false" outlineLevel="0" collapsed="false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customFormat="false" ht="15.75" hidden="false" customHeight="false" outlineLevel="0" collapsed="false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customFormat="false" ht="15.75" hidden="false" customHeight="false" outlineLevel="0" collapsed="false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customFormat="false" ht="15.75" hidden="false" customHeight="false" outlineLevel="0" collapsed="false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customFormat="false" ht="15.75" hidden="false" customHeight="false" outlineLevel="0" collapsed="false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customFormat="false" ht="15.75" hidden="false" customHeight="false" outlineLevel="0" collapsed="false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customFormat="false" ht="15.75" hidden="false" customHeight="false" outlineLevel="0" collapsed="false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customFormat="false" ht="15.75" hidden="false" customHeight="false" outlineLevel="0" collapsed="false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customFormat="false" ht="15.75" hidden="false" customHeight="false" outlineLevel="0" collapsed="false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customFormat="false" ht="15.75" hidden="false" customHeight="false" outlineLevel="0" collapsed="false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customFormat="false" ht="15.75" hidden="false" customHeight="false" outlineLevel="0" collapsed="false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customFormat="false" ht="15.75" hidden="false" customHeight="false" outlineLevel="0" collapsed="false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customFormat="false" ht="15.75" hidden="false" customHeight="false" outlineLevel="0" collapsed="false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customFormat="false" ht="15.75" hidden="false" customHeight="false" outlineLevel="0" collapsed="false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customFormat="false" ht="15.75" hidden="false" customHeight="false" outlineLevel="0" collapsed="false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customFormat="false" ht="15.75" hidden="false" customHeight="false" outlineLevel="0" collapsed="false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customFormat="false" ht="15.75" hidden="false" customHeight="false" outlineLevel="0" collapsed="false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customFormat="false" ht="15.75" hidden="false" customHeight="false" outlineLevel="0" collapsed="false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customFormat="false" ht="15.75" hidden="false" customHeight="false" outlineLevel="0" collapsed="false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customFormat="false" ht="15.75" hidden="false" customHeight="false" outlineLevel="0" collapsed="false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customFormat="false" ht="15.75" hidden="false" customHeight="false" outlineLevel="0" collapsed="false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customFormat="false" ht="15.75" hidden="false" customHeight="false" outlineLevel="0" collapsed="false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customFormat="false" ht="15.75" hidden="false" customHeight="false" outlineLevel="0" collapsed="false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customFormat="false" ht="15.75" hidden="false" customHeight="false" outlineLevel="0" collapsed="false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customFormat="false" ht="15.75" hidden="false" customHeight="false" outlineLevel="0" collapsed="false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customFormat="false" ht="15.75" hidden="false" customHeight="false" outlineLevel="0" collapsed="false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customFormat="false" ht="15.75" hidden="false" customHeight="false" outlineLevel="0" collapsed="false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customFormat="false" ht="15.75" hidden="false" customHeight="false" outlineLevel="0" collapsed="false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customFormat="false" ht="15.75" hidden="false" customHeight="false" outlineLevel="0" collapsed="false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customFormat="false" ht="15.75" hidden="false" customHeight="false" outlineLevel="0" collapsed="false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customFormat="false" ht="15.75" hidden="false" customHeight="false" outlineLevel="0" collapsed="false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customFormat="false" ht="15.75" hidden="false" customHeight="false" outlineLevel="0" collapsed="false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customFormat="false" ht="15.75" hidden="false" customHeight="false" outlineLevel="0" collapsed="false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customFormat="false" ht="15.75" hidden="false" customHeight="false" outlineLevel="0" collapsed="false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customFormat="false" ht="15.75" hidden="false" customHeight="false" outlineLevel="0" collapsed="false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customFormat="false" ht="15.75" hidden="false" customHeight="false" outlineLevel="0" collapsed="false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customFormat="false" ht="15.75" hidden="false" customHeight="false" outlineLevel="0" collapsed="false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customFormat="false" ht="15.75" hidden="false" customHeight="false" outlineLevel="0" collapsed="false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customFormat="false" ht="15.75" hidden="false" customHeight="false" outlineLevel="0" collapsed="false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customFormat="false" ht="15.75" hidden="false" customHeight="false" outlineLevel="0" collapsed="false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customFormat="false" ht="15.75" hidden="false" customHeight="false" outlineLevel="0" collapsed="false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customFormat="false" ht="15.75" hidden="false" customHeight="false" outlineLevel="0" collapsed="false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customFormat="false" ht="15.75" hidden="false" customHeight="false" outlineLevel="0" collapsed="false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customFormat="false" ht="15.75" hidden="false" customHeight="false" outlineLevel="0" collapsed="false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customFormat="false" ht="15.75" hidden="false" customHeight="false" outlineLevel="0" collapsed="false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customFormat="false" ht="15.75" hidden="false" customHeight="false" outlineLevel="0" collapsed="false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customFormat="false" ht="15.75" hidden="false" customHeight="false" outlineLevel="0" collapsed="false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customFormat="false" ht="15.75" hidden="false" customHeight="false" outlineLevel="0" collapsed="false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customFormat="false" ht="15.75" hidden="false" customHeight="false" outlineLevel="0" collapsed="false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customFormat="false" ht="15.75" hidden="false" customHeight="false" outlineLevel="0" collapsed="false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customFormat="false" ht="15.75" hidden="false" customHeight="false" outlineLevel="0" collapsed="false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customFormat="false" ht="15.75" hidden="false" customHeight="false" outlineLevel="0" collapsed="false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customFormat="false" ht="15.75" hidden="false" customHeight="false" outlineLevel="0" collapsed="false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customFormat="false" ht="15.75" hidden="false" customHeight="false" outlineLevel="0" collapsed="false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customFormat="false" ht="15.75" hidden="false" customHeight="false" outlineLevel="0" collapsed="false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customFormat="false" ht="15.75" hidden="false" customHeight="false" outlineLevel="0" collapsed="false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customFormat="false" ht="15.75" hidden="false" customHeight="false" outlineLevel="0" collapsed="false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customFormat="false" ht="15.75" hidden="false" customHeight="false" outlineLevel="0" collapsed="false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customFormat="false" ht="15.75" hidden="false" customHeight="false" outlineLevel="0" collapsed="false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customFormat="false" ht="15.75" hidden="false" customHeight="false" outlineLevel="0" collapsed="false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customFormat="false" ht="15.75" hidden="false" customHeight="false" outlineLevel="0" collapsed="false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customFormat="false" ht="15.75" hidden="false" customHeight="false" outlineLevel="0" collapsed="false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customFormat="false" ht="15.75" hidden="false" customHeight="false" outlineLevel="0" collapsed="false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customFormat="false" ht="15.75" hidden="false" customHeight="false" outlineLevel="0" collapsed="false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customFormat="false" ht="15.75" hidden="false" customHeight="false" outlineLevel="0" collapsed="false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customFormat="false" ht="15.75" hidden="false" customHeight="false" outlineLevel="0" collapsed="false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customFormat="false" ht="15.75" hidden="false" customHeight="false" outlineLevel="0" collapsed="false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customFormat="false" ht="15.75" hidden="false" customHeight="false" outlineLevel="0" collapsed="false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customFormat="false" ht="15.75" hidden="false" customHeight="false" outlineLevel="0" collapsed="false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customFormat="false" ht="15.75" hidden="false" customHeight="false" outlineLevel="0" collapsed="false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customFormat="false" ht="15.75" hidden="false" customHeight="false" outlineLevel="0" collapsed="false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customFormat="false" ht="15.75" hidden="false" customHeight="false" outlineLevel="0" collapsed="false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customFormat="false" ht="15.75" hidden="false" customHeight="false" outlineLevel="0" collapsed="false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customFormat="false" ht="15.75" hidden="false" customHeight="false" outlineLevel="0" collapsed="false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customFormat="false" ht="15.75" hidden="false" customHeight="false" outlineLevel="0" collapsed="false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customFormat="false" ht="15.75" hidden="false" customHeight="false" outlineLevel="0" collapsed="false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customFormat="false" ht="15.75" hidden="false" customHeight="false" outlineLevel="0" collapsed="false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customFormat="false" ht="15.75" hidden="false" customHeight="false" outlineLevel="0" collapsed="false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customFormat="false" ht="15.75" hidden="false" customHeight="false" outlineLevel="0" collapsed="false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customFormat="false" ht="15.75" hidden="false" customHeight="false" outlineLevel="0" collapsed="false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customFormat="false" ht="15.75" hidden="false" customHeight="false" outlineLevel="0" collapsed="false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customFormat="false" ht="15.75" hidden="false" customHeight="false" outlineLevel="0" collapsed="false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customFormat="false" ht="15.75" hidden="false" customHeight="false" outlineLevel="0" collapsed="false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customFormat="false" ht="15.75" hidden="false" customHeight="false" outlineLevel="0" collapsed="false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customFormat="false" ht="15.75" hidden="false" customHeight="false" outlineLevel="0" collapsed="false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customFormat="false" ht="15.75" hidden="false" customHeight="false" outlineLevel="0" collapsed="false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customFormat="false" ht="15.75" hidden="false" customHeight="false" outlineLevel="0" collapsed="false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customFormat="false" ht="15.75" hidden="false" customHeight="false" outlineLevel="0" collapsed="false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customFormat="false" ht="15.75" hidden="false" customHeight="false" outlineLevel="0" collapsed="false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customFormat="false" ht="15.75" hidden="false" customHeight="false" outlineLevel="0" collapsed="false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customFormat="false" ht="15.75" hidden="false" customHeight="false" outlineLevel="0" collapsed="false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customFormat="false" ht="15.75" hidden="false" customHeight="false" outlineLevel="0" collapsed="false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customFormat="false" ht="15.75" hidden="false" customHeight="false" outlineLevel="0" collapsed="false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customFormat="false" ht="15.75" hidden="false" customHeight="false" outlineLevel="0" collapsed="false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customFormat="false" ht="15.75" hidden="false" customHeight="false" outlineLevel="0" collapsed="false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customFormat="false" ht="15.75" hidden="false" customHeight="false" outlineLevel="0" collapsed="false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customFormat="false" ht="15.75" hidden="false" customHeight="false" outlineLevel="0" collapsed="false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customFormat="false" ht="15.75" hidden="false" customHeight="false" outlineLevel="0" collapsed="false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customFormat="false" ht="15.75" hidden="false" customHeight="false" outlineLevel="0" collapsed="false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customFormat="false" ht="15.75" hidden="false" customHeight="false" outlineLevel="0" collapsed="false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customFormat="false" ht="15.75" hidden="false" customHeight="false" outlineLevel="0" collapsed="false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customFormat="false" ht="15.75" hidden="false" customHeight="false" outlineLevel="0" collapsed="false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customFormat="false" ht="15.75" hidden="false" customHeight="false" outlineLevel="0" collapsed="false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customFormat="false" ht="15.75" hidden="false" customHeight="false" outlineLevel="0" collapsed="false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customFormat="false" ht="15.75" hidden="false" customHeight="false" outlineLevel="0" collapsed="false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customFormat="false" ht="15.75" hidden="false" customHeight="false" outlineLevel="0" collapsed="false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customFormat="false" ht="15.75" hidden="false" customHeight="false" outlineLevel="0" collapsed="false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customFormat="false" ht="15.75" hidden="false" customHeight="false" outlineLevel="0" collapsed="false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customFormat="false" ht="15.75" hidden="false" customHeight="false" outlineLevel="0" collapsed="false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customFormat="false" ht="15.75" hidden="false" customHeight="false" outlineLevel="0" collapsed="false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customFormat="false" ht="15.75" hidden="false" customHeight="false" outlineLevel="0" collapsed="false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customFormat="false" ht="15.75" hidden="false" customHeight="false" outlineLevel="0" collapsed="false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customFormat="false" ht="15.75" hidden="false" customHeight="false" outlineLevel="0" collapsed="false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customFormat="false" ht="15.75" hidden="false" customHeight="false" outlineLevel="0" collapsed="false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customFormat="false" ht="15.75" hidden="false" customHeight="false" outlineLevel="0" collapsed="false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customFormat="false" ht="15.75" hidden="false" customHeight="false" outlineLevel="0" collapsed="false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customFormat="false" ht="15.75" hidden="false" customHeight="false" outlineLevel="0" collapsed="false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customFormat="false" ht="15.75" hidden="false" customHeight="false" outlineLevel="0" collapsed="false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customFormat="false" ht="15.75" hidden="false" customHeight="false" outlineLevel="0" collapsed="false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customFormat="false" ht="15.75" hidden="false" customHeight="false" outlineLevel="0" collapsed="false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customFormat="false" ht="15.75" hidden="false" customHeight="false" outlineLevel="0" collapsed="false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customFormat="false" ht="15.75" hidden="false" customHeight="false" outlineLevel="0" collapsed="false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customFormat="false" ht="15.75" hidden="false" customHeight="false" outlineLevel="0" collapsed="false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customFormat="false" ht="15.75" hidden="false" customHeight="false" outlineLevel="0" collapsed="false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customFormat="false" ht="15.75" hidden="false" customHeight="false" outlineLevel="0" collapsed="false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customFormat="false" ht="15.75" hidden="false" customHeight="false" outlineLevel="0" collapsed="false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customFormat="false" ht="15.75" hidden="false" customHeight="false" outlineLevel="0" collapsed="false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customFormat="false" ht="15.75" hidden="false" customHeight="false" outlineLevel="0" collapsed="false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customFormat="false" ht="15.75" hidden="false" customHeight="false" outlineLevel="0" collapsed="false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customFormat="false" ht="15.75" hidden="false" customHeight="false" outlineLevel="0" collapsed="false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customFormat="false" ht="15.75" hidden="false" customHeight="false" outlineLevel="0" collapsed="false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customFormat="false" ht="15.75" hidden="false" customHeight="false" outlineLevel="0" collapsed="false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customFormat="false" ht="15.75" hidden="false" customHeight="false" outlineLevel="0" collapsed="false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customFormat="false" ht="15.75" hidden="false" customHeight="false" outlineLevel="0" collapsed="false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customFormat="false" ht="15.75" hidden="false" customHeight="false" outlineLevel="0" collapsed="false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customFormat="false" ht="15.75" hidden="false" customHeight="false" outlineLevel="0" collapsed="false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customFormat="false" ht="15.75" hidden="false" customHeight="false" outlineLevel="0" collapsed="false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customFormat="false" ht="15.75" hidden="false" customHeight="false" outlineLevel="0" collapsed="false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customFormat="false" ht="15.75" hidden="false" customHeight="false" outlineLevel="0" collapsed="false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customFormat="false" ht="15.75" hidden="false" customHeight="false" outlineLevel="0" collapsed="false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customFormat="false" ht="15.75" hidden="false" customHeight="false" outlineLevel="0" collapsed="false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customFormat="false" ht="15.75" hidden="false" customHeight="false" outlineLevel="0" collapsed="false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customFormat="false" ht="15.75" hidden="false" customHeight="false" outlineLevel="0" collapsed="false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customFormat="false" ht="15.75" hidden="false" customHeight="false" outlineLevel="0" collapsed="false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customFormat="false" ht="15.75" hidden="false" customHeight="false" outlineLevel="0" collapsed="false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customFormat="false" ht="15.75" hidden="false" customHeight="false" outlineLevel="0" collapsed="false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customFormat="false" ht="15.75" hidden="false" customHeight="false" outlineLevel="0" collapsed="false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customFormat="false" ht="15.75" hidden="false" customHeight="false" outlineLevel="0" collapsed="false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customFormat="false" ht="15.75" hidden="false" customHeight="false" outlineLevel="0" collapsed="false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customFormat="false" ht="15.75" hidden="false" customHeight="false" outlineLevel="0" collapsed="false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customFormat="false" ht="15.75" hidden="false" customHeight="false" outlineLevel="0" collapsed="false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customFormat="false" ht="15.75" hidden="false" customHeight="false" outlineLevel="0" collapsed="false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customFormat="false" ht="15.75" hidden="false" customHeight="false" outlineLevel="0" collapsed="false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customFormat="false" ht="15.75" hidden="false" customHeight="false" outlineLevel="0" collapsed="false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customFormat="false" ht="15.75" hidden="false" customHeight="false" outlineLevel="0" collapsed="false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customFormat="false" ht="15.75" hidden="false" customHeight="false" outlineLevel="0" collapsed="false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customFormat="false" ht="15.75" hidden="false" customHeight="false" outlineLevel="0" collapsed="false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customFormat="false" ht="15.75" hidden="false" customHeight="false" outlineLevel="0" collapsed="false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customFormat="false" ht="15.75" hidden="false" customHeight="false" outlineLevel="0" collapsed="false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customFormat="false" ht="15.75" hidden="false" customHeight="false" outlineLevel="0" collapsed="false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customFormat="false" ht="15.75" hidden="false" customHeight="false" outlineLevel="0" collapsed="false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customFormat="false" ht="15.75" hidden="false" customHeight="false" outlineLevel="0" collapsed="false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customFormat="false" ht="15.75" hidden="false" customHeight="false" outlineLevel="0" collapsed="false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customFormat="false" ht="15.75" hidden="false" customHeight="false" outlineLevel="0" collapsed="false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customFormat="false" ht="15.75" hidden="false" customHeight="false" outlineLevel="0" collapsed="false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customFormat="false" ht="15.75" hidden="false" customHeight="false" outlineLevel="0" collapsed="false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customFormat="false" ht="15.75" hidden="false" customHeight="false" outlineLevel="0" collapsed="false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customFormat="false" ht="15.75" hidden="false" customHeight="false" outlineLevel="0" collapsed="false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customFormat="false" ht="15.75" hidden="false" customHeight="false" outlineLevel="0" collapsed="false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customFormat="false" ht="15.75" hidden="false" customHeight="false" outlineLevel="0" collapsed="false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customFormat="false" ht="15.75" hidden="false" customHeight="false" outlineLevel="0" collapsed="false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customFormat="false" ht="15.75" hidden="false" customHeight="false" outlineLevel="0" collapsed="false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customFormat="false" ht="15.75" hidden="false" customHeight="false" outlineLevel="0" collapsed="false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customFormat="false" ht="15.75" hidden="false" customHeight="false" outlineLevel="0" collapsed="false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customFormat="false" ht="15.75" hidden="false" customHeight="false" outlineLevel="0" collapsed="false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customFormat="false" ht="15.75" hidden="false" customHeight="false" outlineLevel="0" collapsed="false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customFormat="false" ht="15.75" hidden="false" customHeight="false" outlineLevel="0" collapsed="false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customFormat="false" ht="15.75" hidden="false" customHeight="false" outlineLevel="0" collapsed="false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customFormat="false" ht="15.75" hidden="false" customHeight="false" outlineLevel="0" collapsed="false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customFormat="false" ht="15.75" hidden="false" customHeight="false" outlineLevel="0" collapsed="false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customFormat="false" ht="15.75" hidden="false" customHeight="false" outlineLevel="0" collapsed="false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customFormat="false" ht="15.75" hidden="false" customHeight="false" outlineLevel="0" collapsed="false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customFormat="false" ht="15.75" hidden="false" customHeight="false" outlineLevel="0" collapsed="false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customFormat="false" ht="15.75" hidden="false" customHeight="false" outlineLevel="0" collapsed="false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customFormat="false" ht="15.75" hidden="false" customHeight="false" outlineLevel="0" collapsed="false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customFormat="false" ht="15.75" hidden="false" customHeight="false" outlineLevel="0" collapsed="false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customFormat="false" ht="15.75" hidden="false" customHeight="false" outlineLevel="0" collapsed="false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customFormat="false" ht="15.75" hidden="false" customHeight="false" outlineLevel="0" collapsed="false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customFormat="false" ht="15.75" hidden="false" customHeight="false" outlineLevel="0" collapsed="false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customFormat="false" ht="15.75" hidden="false" customHeight="false" outlineLevel="0" collapsed="false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customFormat="false" ht="15.75" hidden="false" customHeight="false" outlineLevel="0" collapsed="false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customFormat="false" ht="15.75" hidden="false" customHeight="false" outlineLevel="0" collapsed="false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customFormat="false" ht="15.75" hidden="false" customHeight="false" outlineLevel="0" collapsed="false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customFormat="false" ht="15.75" hidden="false" customHeight="false" outlineLevel="0" collapsed="false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customFormat="false" ht="15.75" hidden="false" customHeight="false" outlineLevel="0" collapsed="false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customFormat="false" ht="15.75" hidden="false" customHeight="false" outlineLevel="0" collapsed="false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customFormat="false" ht="15.75" hidden="false" customHeight="false" outlineLevel="0" collapsed="false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customFormat="false" ht="15.75" hidden="false" customHeight="false" outlineLevel="0" collapsed="false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customFormat="false" ht="15.75" hidden="false" customHeight="false" outlineLevel="0" collapsed="false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customFormat="false" ht="15.75" hidden="false" customHeight="false" outlineLevel="0" collapsed="false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customFormat="false" ht="15.75" hidden="false" customHeight="false" outlineLevel="0" collapsed="false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customFormat="false" ht="15.75" hidden="false" customHeight="false" outlineLevel="0" collapsed="false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customFormat="false" ht="15.75" hidden="false" customHeight="false" outlineLevel="0" collapsed="false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customFormat="false" ht="15.75" hidden="false" customHeight="false" outlineLevel="0" collapsed="false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customFormat="false" ht="15.75" hidden="false" customHeight="false" outlineLevel="0" collapsed="false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customFormat="false" ht="15.75" hidden="false" customHeight="false" outlineLevel="0" collapsed="false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customFormat="false" ht="15.75" hidden="false" customHeight="false" outlineLevel="0" collapsed="false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customFormat="false" ht="15.75" hidden="false" customHeight="false" outlineLevel="0" collapsed="false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customFormat="false" ht="15.75" hidden="false" customHeight="false" outlineLevel="0" collapsed="false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customFormat="false" ht="15.75" hidden="false" customHeight="false" outlineLevel="0" collapsed="false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customFormat="false" ht="15.75" hidden="false" customHeight="false" outlineLevel="0" collapsed="false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customFormat="false" ht="15.75" hidden="false" customHeight="false" outlineLevel="0" collapsed="false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customFormat="false" ht="15.75" hidden="false" customHeight="false" outlineLevel="0" collapsed="false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customFormat="false" ht="15.75" hidden="false" customHeight="false" outlineLevel="0" collapsed="false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customFormat="false" ht="15.75" hidden="false" customHeight="false" outlineLevel="0" collapsed="false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customFormat="false" ht="15.75" hidden="false" customHeight="false" outlineLevel="0" collapsed="false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customFormat="false" ht="15.75" hidden="false" customHeight="false" outlineLevel="0" collapsed="false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customFormat="false" ht="15.75" hidden="false" customHeight="false" outlineLevel="0" collapsed="false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customFormat="false" ht="15.75" hidden="false" customHeight="false" outlineLevel="0" collapsed="false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customFormat="false" ht="15.75" hidden="false" customHeight="false" outlineLevel="0" collapsed="false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customFormat="false" ht="15.75" hidden="false" customHeight="false" outlineLevel="0" collapsed="false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customFormat="false" ht="15.75" hidden="false" customHeight="false" outlineLevel="0" collapsed="false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customFormat="false" ht="15.75" hidden="false" customHeight="false" outlineLevel="0" collapsed="false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customFormat="false" ht="15.75" hidden="false" customHeight="false" outlineLevel="0" collapsed="false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customFormat="false" ht="15.75" hidden="false" customHeight="false" outlineLevel="0" collapsed="false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customFormat="false" ht="15.75" hidden="false" customHeight="false" outlineLevel="0" collapsed="false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customFormat="false" ht="15.75" hidden="false" customHeight="false" outlineLevel="0" collapsed="false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customFormat="false" ht="15.75" hidden="false" customHeight="false" outlineLevel="0" collapsed="false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customFormat="false" ht="15.75" hidden="false" customHeight="false" outlineLevel="0" collapsed="false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customFormat="false" ht="15.75" hidden="false" customHeight="false" outlineLevel="0" collapsed="false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customFormat="false" ht="15.75" hidden="false" customHeight="false" outlineLevel="0" collapsed="false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customFormat="false" ht="15.75" hidden="false" customHeight="false" outlineLevel="0" collapsed="false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customFormat="false" ht="15.75" hidden="false" customHeight="false" outlineLevel="0" collapsed="false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customFormat="false" ht="15.75" hidden="false" customHeight="false" outlineLevel="0" collapsed="false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customFormat="false" ht="15.75" hidden="false" customHeight="false" outlineLevel="0" collapsed="false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customFormat="false" ht="15.75" hidden="false" customHeight="false" outlineLevel="0" collapsed="false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customFormat="false" ht="15.75" hidden="false" customHeight="false" outlineLevel="0" collapsed="false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customFormat="false" ht="15.75" hidden="false" customHeight="false" outlineLevel="0" collapsed="false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customFormat="false" ht="15.75" hidden="false" customHeight="false" outlineLevel="0" collapsed="false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customFormat="false" ht="15.75" hidden="false" customHeight="false" outlineLevel="0" collapsed="false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customFormat="false" ht="15.75" hidden="false" customHeight="false" outlineLevel="0" collapsed="false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customFormat="false" ht="15.75" hidden="false" customHeight="false" outlineLevel="0" collapsed="false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customFormat="false" ht="15.75" hidden="false" customHeight="false" outlineLevel="0" collapsed="false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customFormat="false" ht="15.75" hidden="false" customHeight="false" outlineLevel="0" collapsed="false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customFormat="false" ht="15.75" hidden="false" customHeight="false" outlineLevel="0" collapsed="false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customFormat="false" ht="15.75" hidden="false" customHeight="false" outlineLevel="0" collapsed="false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customFormat="false" ht="15.75" hidden="false" customHeight="false" outlineLevel="0" collapsed="false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customFormat="false" ht="15.75" hidden="false" customHeight="false" outlineLevel="0" collapsed="false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customFormat="false" ht="15.75" hidden="false" customHeight="false" outlineLevel="0" collapsed="false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customFormat="false" ht="15.75" hidden="false" customHeight="false" outlineLevel="0" collapsed="false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customFormat="false" ht="15.75" hidden="false" customHeight="false" outlineLevel="0" collapsed="false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customFormat="false" ht="15.75" hidden="false" customHeight="false" outlineLevel="0" collapsed="false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customFormat="false" ht="15.75" hidden="false" customHeight="false" outlineLevel="0" collapsed="false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customFormat="false" ht="15.75" hidden="false" customHeight="false" outlineLevel="0" collapsed="false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customFormat="false" ht="15.75" hidden="false" customHeight="false" outlineLevel="0" collapsed="false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customFormat="false" ht="15.75" hidden="false" customHeight="false" outlineLevel="0" collapsed="false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customFormat="false" ht="15.75" hidden="false" customHeight="false" outlineLevel="0" collapsed="false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customFormat="false" ht="15.75" hidden="false" customHeight="false" outlineLevel="0" collapsed="false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customFormat="false" ht="15.75" hidden="false" customHeight="false" outlineLevel="0" collapsed="false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customFormat="false" ht="15.75" hidden="false" customHeight="false" outlineLevel="0" collapsed="false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customFormat="false" ht="15.75" hidden="false" customHeight="false" outlineLevel="0" collapsed="false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customFormat="false" ht="15.75" hidden="false" customHeight="false" outlineLevel="0" collapsed="false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customFormat="false" ht="15.75" hidden="false" customHeight="false" outlineLevel="0" collapsed="false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customFormat="false" ht="15.75" hidden="false" customHeight="false" outlineLevel="0" collapsed="false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customFormat="false" ht="15.75" hidden="false" customHeight="false" outlineLevel="0" collapsed="false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customFormat="false" ht="15.75" hidden="false" customHeight="false" outlineLevel="0" collapsed="false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customFormat="false" ht="15.75" hidden="false" customHeight="false" outlineLevel="0" collapsed="false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customFormat="false" ht="15.75" hidden="false" customHeight="false" outlineLevel="0" collapsed="false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customFormat="false" ht="15.75" hidden="false" customHeight="false" outlineLevel="0" collapsed="false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customFormat="false" ht="15.75" hidden="false" customHeight="false" outlineLevel="0" collapsed="false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customFormat="false" ht="15.75" hidden="false" customHeight="false" outlineLevel="0" collapsed="false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customFormat="false" ht="15.75" hidden="false" customHeight="false" outlineLevel="0" collapsed="false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customFormat="false" ht="15.75" hidden="false" customHeight="false" outlineLevel="0" collapsed="false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customFormat="false" ht="15.75" hidden="false" customHeight="false" outlineLevel="0" collapsed="false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customFormat="false" ht="15.75" hidden="false" customHeight="false" outlineLevel="0" collapsed="false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customFormat="false" ht="15.75" hidden="false" customHeight="false" outlineLevel="0" collapsed="false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customFormat="false" ht="15.75" hidden="false" customHeight="false" outlineLevel="0" collapsed="false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customFormat="false" ht="15.75" hidden="false" customHeight="false" outlineLevel="0" collapsed="false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customFormat="false" ht="15.75" hidden="false" customHeight="false" outlineLevel="0" collapsed="false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customFormat="false" ht="15.75" hidden="false" customHeight="false" outlineLevel="0" collapsed="false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customFormat="false" ht="15.75" hidden="false" customHeight="false" outlineLevel="0" collapsed="false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customFormat="false" ht="15.75" hidden="false" customHeight="false" outlineLevel="0" collapsed="false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customFormat="false" ht="15.75" hidden="false" customHeight="false" outlineLevel="0" collapsed="false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customFormat="false" ht="15.75" hidden="false" customHeight="false" outlineLevel="0" collapsed="false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customFormat="false" ht="15.75" hidden="false" customHeight="false" outlineLevel="0" collapsed="false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customFormat="false" ht="15.75" hidden="false" customHeight="false" outlineLevel="0" collapsed="false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customFormat="false" ht="15.75" hidden="false" customHeight="false" outlineLevel="0" collapsed="false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customFormat="false" ht="15.75" hidden="false" customHeight="false" outlineLevel="0" collapsed="false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customFormat="false" ht="15.75" hidden="false" customHeight="false" outlineLevel="0" collapsed="false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customFormat="false" ht="15.75" hidden="false" customHeight="false" outlineLevel="0" collapsed="false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customFormat="false" ht="15.75" hidden="false" customHeight="false" outlineLevel="0" collapsed="false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customFormat="false" ht="15.75" hidden="false" customHeight="false" outlineLevel="0" collapsed="false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customFormat="false" ht="15.75" hidden="false" customHeight="false" outlineLevel="0" collapsed="false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customFormat="false" ht="15.75" hidden="false" customHeight="false" outlineLevel="0" collapsed="false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customFormat="false" ht="15.75" hidden="false" customHeight="false" outlineLevel="0" collapsed="false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customFormat="false" ht="15.75" hidden="false" customHeight="false" outlineLevel="0" collapsed="false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customFormat="false" ht="15.75" hidden="false" customHeight="false" outlineLevel="0" collapsed="false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customFormat="false" ht="15.75" hidden="false" customHeight="false" outlineLevel="0" collapsed="false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customFormat="false" ht="15.75" hidden="false" customHeight="false" outlineLevel="0" collapsed="false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customFormat="false" ht="15.75" hidden="false" customHeight="false" outlineLevel="0" collapsed="false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customFormat="false" ht="15.75" hidden="false" customHeight="false" outlineLevel="0" collapsed="false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customFormat="false" ht="15.75" hidden="false" customHeight="false" outlineLevel="0" collapsed="false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customFormat="false" ht="15.75" hidden="false" customHeight="false" outlineLevel="0" collapsed="false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customFormat="false" ht="15.75" hidden="false" customHeight="false" outlineLevel="0" collapsed="false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customFormat="false" ht="15.75" hidden="false" customHeight="false" outlineLevel="0" collapsed="false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customFormat="false" ht="15.75" hidden="false" customHeight="false" outlineLevel="0" collapsed="false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customFormat="false" ht="15.75" hidden="false" customHeight="false" outlineLevel="0" collapsed="false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customFormat="false" ht="15.75" hidden="false" customHeight="false" outlineLevel="0" collapsed="false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customFormat="false" ht="15.75" hidden="false" customHeight="false" outlineLevel="0" collapsed="false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customFormat="false" ht="15.75" hidden="false" customHeight="false" outlineLevel="0" collapsed="false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customFormat="false" ht="15.75" hidden="false" customHeight="false" outlineLevel="0" collapsed="false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customFormat="false" ht="15.75" hidden="false" customHeight="false" outlineLevel="0" collapsed="false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customFormat="false" ht="15.75" hidden="false" customHeight="false" outlineLevel="0" collapsed="false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customFormat="false" ht="15.75" hidden="false" customHeight="false" outlineLevel="0" collapsed="false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customFormat="false" ht="15.75" hidden="false" customHeight="false" outlineLevel="0" collapsed="false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customFormat="false" ht="15.75" hidden="false" customHeight="false" outlineLevel="0" collapsed="false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customFormat="false" ht="15.75" hidden="false" customHeight="false" outlineLevel="0" collapsed="false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customFormat="false" ht="15.75" hidden="false" customHeight="false" outlineLevel="0" collapsed="false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customFormat="false" ht="15.75" hidden="false" customHeight="false" outlineLevel="0" collapsed="false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customFormat="false" ht="15.75" hidden="false" customHeight="false" outlineLevel="0" collapsed="false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customFormat="false" ht="15.75" hidden="false" customHeight="false" outlineLevel="0" collapsed="false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customFormat="false" ht="15.75" hidden="false" customHeight="false" outlineLevel="0" collapsed="false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customFormat="false" ht="15.75" hidden="false" customHeight="false" outlineLevel="0" collapsed="false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customFormat="false" ht="15.75" hidden="false" customHeight="false" outlineLevel="0" collapsed="false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customFormat="false" ht="15.75" hidden="false" customHeight="false" outlineLevel="0" collapsed="false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customFormat="false" ht="15.75" hidden="false" customHeight="false" outlineLevel="0" collapsed="false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customFormat="false" ht="15.75" hidden="false" customHeight="false" outlineLevel="0" collapsed="false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customFormat="false" ht="15.75" hidden="false" customHeight="false" outlineLevel="0" collapsed="false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customFormat="false" ht="15.75" hidden="false" customHeight="false" outlineLevel="0" collapsed="false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customFormat="false" ht="15.75" hidden="false" customHeight="false" outlineLevel="0" collapsed="false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customFormat="false" ht="15.75" hidden="false" customHeight="false" outlineLevel="0" collapsed="false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customFormat="false" ht="15.75" hidden="false" customHeight="false" outlineLevel="0" collapsed="false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customFormat="false" ht="15.75" hidden="false" customHeight="false" outlineLevel="0" collapsed="false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customFormat="false" ht="15.75" hidden="false" customHeight="false" outlineLevel="0" collapsed="false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customFormat="false" ht="15.75" hidden="false" customHeight="false" outlineLevel="0" collapsed="false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customFormat="false" ht="15.75" hidden="false" customHeight="false" outlineLevel="0" collapsed="false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customFormat="false" ht="15.75" hidden="false" customHeight="false" outlineLevel="0" collapsed="false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customFormat="false" ht="15.75" hidden="false" customHeight="false" outlineLevel="0" collapsed="false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customFormat="false" ht="15.75" hidden="false" customHeight="false" outlineLevel="0" collapsed="false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customFormat="false" ht="15.75" hidden="false" customHeight="false" outlineLevel="0" collapsed="false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customFormat="false" ht="15.75" hidden="false" customHeight="false" outlineLevel="0" collapsed="false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customFormat="false" ht="15.75" hidden="false" customHeight="false" outlineLevel="0" collapsed="false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customFormat="false" ht="15.75" hidden="false" customHeight="false" outlineLevel="0" collapsed="false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customFormat="false" ht="15.75" hidden="false" customHeight="false" outlineLevel="0" collapsed="false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customFormat="false" ht="15.75" hidden="false" customHeight="false" outlineLevel="0" collapsed="false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customFormat="false" ht="15.75" hidden="false" customHeight="false" outlineLevel="0" collapsed="false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customFormat="false" ht="15.75" hidden="false" customHeight="false" outlineLevel="0" collapsed="false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customFormat="false" ht="15.75" hidden="false" customHeight="false" outlineLevel="0" collapsed="false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customFormat="false" ht="15.75" hidden="false" customHeight="false" outlineLevel="0" collapsed="false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customFormat="false" ht="15.75" hidden="false" customHeight="false" outlineLevel="0" collapsed="false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customFormat="false" ht="15.75" hidden="false" customHeight="false" outlineLevel="0" collapsed="false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customFormat="false" ht="15.75" hidden="false" customHeight="false" outlineLevel="0" collapsed="false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customFormat="false" ht="15.75" hidden="false" customHeight="false" outlineLevel="0" collapsed="false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customFormat="false" ht="15.75" hidden="false" customHeight="false" outlineLevel="0" collapsed="false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customFormat="false" ht="15.75" hidden="false" customHeight="false" outlineLevel="0" collapsed="false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customFormat="false" ht="15.75" hidden="false" customHeight="false" outlineLevel="0" collapsed="false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customFormat="false" ht="15.75" hidden="false" customHeight="false" outlineLevel="0" collapsed="false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customFormat="false" ht="15.75" hidden="false" customHeight="false" outlineLevel="0" collapsed="false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customFormat="false" ht="15.75" hidden="false" customHeight="false" outlineLevel="0" collapsed="false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customFormat="false" ht="15.75" hidden="false" customHeight="false" outlineLevel="0" collapsed="false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customFormat="false" ht="15.75" hidden="false" customHeight="false" outlineLevel="0" collapsed="false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customFormat="false" ht="15.75" hidden="false" customHeight="false" outlineLevel="0" collapsed="false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customFormat="false" ht="15.75" hidden="false" customHeight="false" outlineLevel="0" collapsed="false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customFormat="false" ht="15.75" hidden="false" customHeight="false" outlineLevel="0" collapsed="false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customFormat="false" ht="15.75" hidden="false" customHeight="false" outlineLevel="0" collapsed="false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customFormat="false" ht="15.75" hidden="false" customHeight="false" outlineLevel="0" collapsed="false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customFormat="false" ht="15.75" hidden="false" customHeight="false" outlineLevel="0" collapsed="false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customFormat="false" ht="15.75" hidden="false" customHeight="false" outlineLevel="0" collapsed="false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customFormat="false" ht="15.75" hidden="false" customHeight="false" outlineLevel="0" collapsed="false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customFormat="false" ht="15.75" hidden="false" customHeight="false" outlineLevel="0" collapsed="false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customFormat="false" ht="15.75" hidden="false" customHeight="false" outlineLevel="0" collapsed="false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customFormat="false" ht="15.75" hidden="false" customHeight="false" outlineLevel="0" collapsed="false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customFormat="false" ht="15.75" hidden="false" customHeight="false" outlineLevel="0" collapsed="false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customFormat="false" ht="15.75" hidden="false" customHeight="false" outlineLevel="0" collapsed="false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customFormat="false" ht="15.75" hidden="false" customHeight="false" outlineLevel="0" collapsed="false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customFormat="false" ht="15.75" hidden="false" customHeight="false" outlineLevel="0" collapsed="false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customFormat="false" ht="15.75" hidden="false" customHeight="false" outlineLevel="0" collapsed="false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customFormat="false" ht="15.75" hidden="false" customHeight="false" outlineLevel="0" collapsed="false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customFormat="false" ht="15.75" hidden="false" customHeight="false" outlineLevel="0" collapsed="false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customFormat="false" ht="15.75" hidden="false" customHeight="false" outlineLevel="0" collapsed="false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customFormat="false" ht="15.75" hidden="false" customHeight="false" outlineLevel="0" collapsed="false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customFormat="false" ht="15.75" hidden="false" customHeight="false" outlineLevel="0" collapsed="false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customFormat="false" ht="15.75" hidden="false" customHeight="false" outlineLevel="0" collapsed="false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customFormat="false" ht="15.75" hidden="false" customHeight="false" outlineLevel="0" collapsed="false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customFormat="false" ht="15.75" hidden="false" customHeight="false" outlineLevel="0" collapsed="false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customFormat="false" ht="15.75" hidden="false" customHeight="false" outlineLevel="0" collapsed="false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customFormat="false" ht="15.75" hidden="false" customHeight="false" outlineLevel="0" collapsed="false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customFormat="false" ht="15.75" hidden="false" customHeight="false" outlineLevel="0" collapsed="false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customFormat="false" ht="15.75" hidden="false" customHeight="false" outlineLevel="0" collapsed="false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customFormat="false" ht="15.75" hidden="false" customHeight="false" outlineLevel="0" collapsed="false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customFormat="false" ht="15.75" hidden="false" customHeight="false" outlineLevel="0" collapsed="false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customFormat="false" ht="15.75" hidden="false" customHeight="false" outlineLevel="0" collapsed="false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customFormat="false" ht="15.75" hidden="false" customHeight="false" outlineLevel="0" collapsed="false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customFormat="false" ht="15.75" hidden="false" customHeight="false" outlineLevel="0" collapsed="false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customFormat="false" ht="15.75" hidden="false" customHeight="false" outlineLevel="0" collapsed="false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customFormat="false" ht="15.75" hidden="false" customHeight="false" outlineLevel="0" collapsed="false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customFormat="false" ht="15.75" hidden="false" customHeight="false" outlineLevel="0" collapsed="false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customFormat="false" ht="15.75" hidden="false" customHeight="false" outlineLevel="0" collapsed="false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customFormat="false" ht="15.75" hidden="false" customHeight="false" outlineLevel="0" collapsed="false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customFormat="false" ht="15.75" hidden="false" customHeight="false" outlineLevel="0" collapsed="false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customFormat="false" ht="15.75" hidden="false" customHeight="false" outlineLevel="0" collapsed="false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customFormat="false" ht="15.75" hidden="false" customHeight="false" outlineLevel="0" collapsed="false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customFormat="false" ht="15.75" hidden="false" customHeight="false" outlineLevel="0" collapsed="false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customFormat="false" ht="15.75" hidden="false" customHeight="false" outlineLevel="0" collapsed="false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customFormat="false" ht="15.75" hidden="false" customHeight="false" outlineLevel="0" collapsed="false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customFormat="false" ht="15.75" hidden="false" customHeight="false" outlineLevel="0" collapsed="false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customFormat="false" ht="15.75" hidden="false" customHeight="false" outlineLevel="0" collapsed="false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customFormat="false" ht="15.75" hidden="false" customHeight="false" outlineLevel="0" collapsed="false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customFormat="false" ht="15.75" hidden="false" customHeight="false" outlineLevel="0" collapsed="false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customFormat="false" ht="15.75" hidden="false" customHeight="false" outlineLevel="0" collapsed="false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customFormat="false" ht="15.75" hidden="false" customHeight="false" outlineLevel="0" collapsed="false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customFormat="false" ht="15.75" hidden="false" customHeight="false" outlineLevel="0" collapsed="false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customFormat="false" ht="15.75" hidden="false" customHeight="false" outlineLevel="0" collapsed="false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customFormat="false" ht="15.75" hidden="false" customHeight="false" outlineLevel="0" collapsed="false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customFormat="false" ht="15.75" hidden="false" customHeight="false" outlineLevel="0" collapsed="false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customFormat="false" ht="15.75" hidden="false" customHeight="false" outlineLevel="0" collapsed="false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customFormat="false" ht="15.75" hidden="false" customHeight="false" outlineLevel="0" collapsed="false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customFormat="false" ht="15.75" hidden="false" customHeight="false" outlineLevel="0" collapsed="false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customFormat="false" ht="15.75" hidden="false" customHeight="false" outlineLevel="0" collapsed="false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customFormat="false" ht="15.75" hidden="false" customHeight="false" outlineLevel="0" collapsed="false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customFormat="false" ht="15.75" hidden="false" customHeight="false" outlineLevel="0" collapsed="false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customFormat="false" ht="15.75" hidden="false" customHeight="false" outlineLevel="0" collapsed="false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customFormat="false" ht="15.75" hidden="false" customHeight="false" outlineLevel="0" collapsed="false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customFormat="false" ht="15.75" hidden="false" customHeight="false" outlineLevel="0" collapsed="false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customFormat="false" ht="15.75" hidden="false" customHeight="false" outlineLevel="0" collapsed="false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customFormat="false" ht="15.75" hidden="false" customHeight="false" outlineLevel="0" collapsed="false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customFormat="false" ht="15.75" hidden="false" customHeight="false" outlineLevel="0" collapsed="false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customFormat="false" ht="15.75" hidden="false" customHeight="false" outlineLevel="0" collapsed="false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customFormat="false" ht="15.75" hidden="false" customHeight="false" outlineLevel="0" collapsed="false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customFormat="false" ht="15.75" hidden="false" customHeight="false" outlineLevel="0" collapsed="false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customFormat="false" ht="15.75" hidden="false" customHeight="false" outlineLevel="0" collapsed="false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customFormat="false" ht="15.75" hidden="false" customHeight="false" outlineLevel="0" collapsed="false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customFormat="false" ht="15.75" hidden="false" customHeight="false" outlineLevel="0" collapsed="false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customFormat="false" ht="15.75" hidden="false" customHeight="false" outlineLevel="0" collapsed="false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customFormat="false" ht="15.75" hidden="false" customHeight="false" outlineLevel="0" collapsed="false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customFormat="false" ht="15.75" hidden="false" customHeight="false" outlineLevel="0" collapsed="false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customFormat="false" ht="15.75" hidden="false" customHeight="false" outlineLevel="0" collapsed="false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customFormat="false" ht="15.75" hidden="false" customHeight="false" outlineLevel="0" collapsed="false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customFormat="false" ht="15.75" hidden="false" customHeight="false" outlineLevel="0" collapsed="false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customFormat="false" ht="15.75" hidden="false" customHeight="false" outlineLevel="0" collapsed="false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customFormat="false" ht="15.75" hidden="false" customHeight="false" outlineLevel="0" collapsed="false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customFormat="false" ht="15.75" hidden="false" customHeight="false" outlineLevel="0" collapsed="false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customFormat="false" ht="15.75" hidden="false" customHeight="false" outlineLevel="0" collapsed="false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customFormat="false" ht="15.75" hidden="false" customHeight="false" outlineLevel="0" collapsed="false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customFormat="false" ht="15.75" hidden="false" customHeight="false" outlineLevel="0" collapsed="false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customFormat="false" ht="15.75" hidden="false" customHeight="false" outlineLevel="0" collapsed="false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customFormat="false" ht="15.75" hidden="false" customHeight="false" outlineLevel="0" collapsed="false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customFormat="false" ht="15.75" hidden="false" customHeight="false" outlineLevel="0" collapsed="false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customFormat="false" ht="15.75" hidden="false" customHeight="false" outlineLevel="0" collapsed="false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customFormat="false" ht="15.75" hidden="false" customHeight="false" outlineLevel="0" collapsed="false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customFormat="false" ht="15.75" hidden="false" customHeight="false" outlineLevel="0" collapsed="false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customFormat="false" ht="15.75" hidden="false" customHeight="false" outlineLevel="0" collapsed="false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customFormat="false" ht="15.75" hidden="false" customHeight="false" outlineLevel="0" collapsed="false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customFormat="false" ht="15.75" hidden="false" customHeight="false" outlineLevel="0" collapsed="false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customFormat="false" ht="15.75" hidden="false" customHeight="false" outlineLevel="0" collapsed="false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customFormat="false" ht="15.75" hidden="false" customHeight="false" outlineLevel="0" collapsed="false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customFormat="false" ht="15.75" hidden="false" customHeight="false" outlineLevel="0" collapsed="false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customFormat="false" ht="15.75" hidden="false" customHeight="false" outlineLevel="0" collapsed="false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customFormat="false" ht="15.75" hidden="false" customHeight="false" outlineLevel="0" collapsed="false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customFormat="false" ht="15.75" hidden="false" customHeight="false" outlineLevel="0" collapsed="false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customFormat="false" ht="15.75" hidden="false" customHeight="false" outlineLevel="0" collapsed="false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customFormat="false" ht="15.75" hidden="false" customHeight="false" outlineLevel="0" collapsed="false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customFormat="false" ht="15.75" hidden="false" customHeight="false" outlineLevel="0" collapsed="false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customFormat="false" ht="15.75" hidden="false" customHeight="false" outlineLevel="0" collapsed="false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customFormat="false" ht="15.75" hidden="false" customHeight="false" outlineLevel="0" collapsed="false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customFormat="false" ht="15.75" hidden="false" customHeight="false" outlineLevel="0" collapsed="false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customFormat="false" ht="15.75" hidden="false" customHeight="false" outlineLevel="0" collapsed="false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customFormat="false" ht="15.75" hidden="false" customHeight="false" outlineLevel="0" collapsed="false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customFormat="false" ht="15.75" hidden="false" customHeight="false" outlineLevel="0" collapsed="false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customFormat="false" ht="15.75" hidden="false" customHeight="false" outlineLevel="0" collapsed="false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customFormat="false" ht="15.75" hidden="false" customHeight="false" outlineLevel="0" collapsed="false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customFormat="false" ht="15.75" hidden="false" customHeight="false" outlineLevel="0" collapsed="false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customFormat="false" ht="15.75" hidden="false" customHeight="false" outlineLevel="0" collapsed="false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customFormat="false" ht="15.75" hidden="false" customHeight="false" outlineLevel="0" collapsed="false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customFormat="false" ht="15.75" hidden="false" customHeight="false" outlineLevel="0" collapsed="false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customFormat="false" ht="15.75" hidden="false" customHeight="false" outlineLevel="0" collapsed="false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customFormat="false" ht="15.75" hidden="false" customHeight="false" outlineLevel="0" collapsed="false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customFormat="false" ht="15.75" hidden="false" customHeight="false" outlineLevel="0" collapsed="false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customFormat="false" ht="15.75" hidden="false" customHeight="false" outlineLevel="0" collapsed="false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customFormat="false" ht="15.75" hidden="false" customHeight="false" outlineLevel="0" collapsed="false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customFormat="false" ht="15.75" hidden="false" customHeight="false" outlineLevel="0" collapsed="false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customFormat="false" ht="15.75" hidden="false" customHeight="false" outlineLevel="0" collapsed="false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customFormat="false" ht="15.75" hidden="false" customHeight="false" outlineLevel="0" collapsed="false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customFormat="false" ht="15.75" hidden="false" customHeight="false" outlineLevel="0" collapsed="false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customFormat="false" ht="15.75" hidden="false" customHeight="false" outlineLevel="0" collapsed="false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customFormat="false" ht="15.75" hidden="false" customHeight="false" outlineLevel="0" collapsed="false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customFormat="false" ht="15.75" hidden="false" customHeight="false" outlineLevel="0" collapsed="false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customFormat="false" ht="15.75" hidden="false" customHeight="false" outlineLevel="0" collapsed="false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customFormat="false" ht="15.75" hidden="false" customHeight="false" outlineLevel="0" collapsed="false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customFormat="false" ht="15.75" hidden="false" customHeight="false" outlineLevel="0" collapsed="false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customFormat="false" ht="15.75" hidden="false" customHeight="false" outlineLevel="0" collapsed="false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customFormat="false" ht="15.75" hidden="false" customHeight="false" outlineLevel="0" collapsed="false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customFormat="false" ht="15.75" hidden="false" customHeight="false" outlineLevel="0" collapsed="false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customFormat="false" ht="15.75" hidden="false" customHeight="false" outlineLevel="0" collapsed="false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customFormat="false" ht="15.75" hidden="false" customHeight="false" outlineLevel="0" collapsed="false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customFormat="false" ht="15.75" hidden="false" customHeight="false" outlineLevel="0" collapsed="false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customFormat="false" ht="15.75" hidden="false" customHeight="false" outlineLevel="0" collapsed="false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customFormat="false" ht="15.75" hidden="false" customHeight="false" outlineLevel="0" collapsed="false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customFormat="false" ht="15.75" hidden="false" customHeight="false" outlineLevel="0" collapsed="false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customFormat="false" ht="15.75" hidden="false" customHeight="false" outlineLevel="0" collapsed="false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customFormat="false" ht="15.75" hidden="false" customHeight="false" outlineLevel="0" collapsed="false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customFormat="false" ht="15.75" hidden="false" customHeight="false" outlineLevel="0" collapsed="false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customFormat="false" ht="15.75" hidden="false" customHeight="false" outlineLevel="0" collapsed="false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customFormat="false" ht="15.75" hidden="false" customHeight="false" outlineLevel="0" collapsed="false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customFormat="false" ht="15.75" hidden="false" customHeight="false" outlineLevel="0" collapsed="false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customFormat="false" ht="15.75" hidden="false" customHeight="false" outlineLevel="0" collapsed="false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customFormat="false" ht="15.75" hidden="false" customHeight="false" outlineLevel="0" collapsed="false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customFormat="false" ht="15.75" hidden="false" customHeight="false" outlineLevel="0" collapsed="false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customFormat="false" ht="15.75" hidden="false" customHeight="false" outlineLevel="0" collapsed="false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customFormat="false" ht="15.75" hidden="false" customHeight="false" outlineLevel="0" collapsed="false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customFormat="false" ht="15.75" hidden="false" customHeight="false" outlineLevel="0" collapsed="false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customFormat="false" ht="15.75" hidden="false" customHeight="false" outlineLevel="0" collapsed="false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customFormat="false" ht="15.75" hidden="false" customHeight="false" outlineLevel="0" collapsed="false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customFormat="false" ht="15.75" hidden="false" customHeight="false" outlineLevel="0" collapsed="false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customFormat="false" ht="15.75" hidden="false" customHeight="false" outlineLevel="0" collapsed="false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customFormat="false" ht="15.75" hidden="false" customHeight="false" outlineLevel="0" collapsed="false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customFormat="false" ht="15.75" hidden="false" customHeight="false" outlineLevel="0" collapsed="false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customFormat="false" ht="15.75" hidden="false" customHeight="false" outlineLevel="0" collapsed="false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customFormat="false" ht="15.75" hidden="false" customHeight="false" outlineLevel="0" collapsed="false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customFormat="false" ht="15.75" hidden="false" customHeight="false" outlineLevel="0" collapsed="false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customFormat="false" ht="15.75" hidden="false" customHeight="false" outlineLevel="0" collapsed="false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customFormat="false" ht="15.75" hidden="false" customHeight="false" outlineLevel="0" collapsed="false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customFormat="false" ht="15.75" hidden="false" customHeight="false" outlineLevel="0" collapsed="false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customFormat="false" ht="15.75" hidden="false" customHeight="false" outlineLevel="0" collapsed="false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customFormat="false" ht="15.75" hidden="false" customHeight="false" outlineLevel="0" collapsed="false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customFormat="false" ht="15.75" hidden="false" customHeight="false" outlineLevel="0" collapsed="false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customFormat="false" ht="15.75" hidden="false" customHeight="false" outlineLevel="0" collapsed="false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customFormat="false" ht="15.75" hidden="false" customHeight="false" outlineLevel="0" collapsed="false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customFormat="false" ht="15.75" hidden="false" customHeight="false" outlineLevel="0" collapsed="false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customFormat="false" ht="15.75" hidden="false" customHeight="false" outlineLevel="0" collapsed="false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customFormat="false" ht="15.75" hidden="false" customHeight="false" outlineLevel="0" collapsed="false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customFormat="false" ht="15.75" hidden="false" customHeight="false" outlineLevel="0" collapsed="false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customFormat="false" ht="15.75" hidden="false" customHeight="false" outlineLevel="0" collapsed="false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customFormat="false" ht="15.75" hidden="false" customHeight="false" outlineLevel="0" collapsed="false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customFormat="false" ht="15.75" hidden="false" customHeight="false" outlineLevel="0" collapsed="false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customFormat="false" ht="15.75" hidden="false" customHeight="false" outlineLevel="0" collapsed="false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customFormat="false" ht="15.75" hidden="false" customHeight="false" outlineLevel="0" collapsed="false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customFormat="false" ht="15.75" hidden="false" customHeight="false" outlineLevel="0" collapsed="false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customFormat="false" ht="15.75" hidden="false" customHeight="false" outlineLevel="0" collapsed="false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customFormat="false" ht="15.75" hidden="false" customHeight="false" outlineLevel="0" collapsed="false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customFormat="false" ht="15.75" hidden="false" customHeight="false" outlineLevel="0" collapsed="false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customFormat="false" ht="15.75" hidden="false" customHeight="false" outlineLevel="0" collapsed="false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customFormat="false" ht="15.75" hidden="false" customHeight="false" outlineLevel="0" collapsed="false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customFormat="false" ht="15.75" hidden="false" customHeight="false" outlineLevel="0" collapsed="false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customFormat="false" ht="15.75" hidden="false" customHeight="false" outlineLevel="0" collapsed="false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customFormat="false" ht="15.75" hidden="false" customHeight="false" outlineLevel="0" collapsed="false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customFormat="false" ht="15.75" hidden="false" customHeight="false" outlineLevel="0" collapsed="false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customFormat="false" ht="15.75" hidden="false" customHeight="false" outlineLevel="0" collapsed="false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customFormat="false" ht="15.75" hidden="false" customHeight="false" outlineLevel="0" collapsed="false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customFormat="false" ht="15.75" hidden="false" customHeight="false" outlineLevel="0" collapsed="false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customFormat="false" ht="15.75" hidden="false" customHeight="false" outlineLevel="0" collapsed="false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customFormat="false" ht="15.75" hidden="false" customHeight="false" outlineLevel="0" collapsed="false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customFormat="false" ht="15.75" hidden="false" customHeight="false" outlineLevel="0" collapsed="false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customFormat="false" ht="15.75" hidden="false" customHeight="false" outlineLevel="0" collapsed="false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customFormat="false" ht="15.75" hidden="false" customHeight="false" outlineLevel="0" collapsed="false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customFormat="false" ht="15.75" hidden="false" customHeight="false" outlineLevel="0" collapsed="false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customFormat="false" ht="15.75" hidden="false" customHeight="false" outlineLevel="0" collapsed="false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customFormat="false" ht="15.75" hidden="false" customHeight="false" outlineLevel="0" collapsed="false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customFormat="false" ht="15.75" hidden="false" customHeight="false" outlineLevel="0" collapsed="false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customFormat="false" ht="15.75" hidden="false" customHeight="false" outlineLevel="0" collapsed="false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customFormat="false" ht="15.75" hidden="false" customHeight="false" outlineLevel="0" collapsed="false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customFormat="false" ht="15.75" hidden="false" customHeight="false" outlineLevel="0" collapsed="false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customFormat="false" ht="15.75" hidden="false" customHeight="false" outlineLevel="0" collapsed="false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customFormat="false" ht="15.75" hidden="false" customHeight="false" outlineLevel="0" collapsed="false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customFormat="false" ht="15.75" hidden="false" customHeight="false" outlineLevel="0" collapsed="false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customFormat="false" ht="15.75" hidden="false" customHeight="false" outlineLevel="0" collapsed="false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customFormat="false" ht="15.75" hidden="false" customHeight="false" outlineLevel="0" collapsed="false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customFormat="false" ht="15.75" hidden="false" customHeight="false" outlineLevel="0" collapsed="false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customFormat="false" ht="15.75" hidden="false" customHeight="false" outlineLevel="0" collapsed="false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customFormat="false" ht="15.75" hidden="false" customHeight="false" outlineLevel="0" collapsed="false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customFormat="false" ht="15.75" hidden="false" customHeight="false" outlineLevel="0" collapsed="false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customFormat="false" ht="15.75" hidden="false" customHeight="false" outlineLevel="0" collapsed="false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customFormat="false" ht="15.75" hidden="false" customHeight="false" outlineLevel="0" collapsed="false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customFormat="false" ht="15.75" hidden="false" customHeight="false" outlineLevel="0" collapsed="false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customFormat="false" ht="15.75" hidden="false" customHeight="false" outlineLevel="0" collapsed="false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customFormat="false" ht="15.75" hidden="false" customHeight="false" outlineLevel="0" collapsed="false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customFormat="false" ht="15.75" hidden="false" customHeight="false" outlineLevel="0" collapsed="false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customFormat="false" ht="15.75" hidden="false" customHeight="false" outlineLevel="0" collapsed="false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customFormat="false" ht="15.75" hidden="false" customHeight="false" outlineLevel="0" collapsed="false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customFormat="false" ht="15.75" hidden="false" customHeight="false" outlineLevel="0" collapsed="false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customFormat="false" ht="15.75" hidden="false" customHeight="false" outlineLevel="0" collapsed="false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customFormat="false" ht="15.75" hidden="false" customHeight="false" outlineLevel="0" collapsed="false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customFormat="false" ht="15.75" hidden="false" customHeight="false" outlineLevel="0" collapsed="false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customFormat="false" ht="15.75" hidden="false" customHeight="false" outlineLevel="0" collapsed="false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customFormat="false" ht="15.75" hidden="false" customHeight="false" outlineLevel="0" collapsed="false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customFormat="false" ht="15.75" hidden="false" customHeight="false" outlineLevel="0" collapsed="false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customFormat="false" ht="15.75" hidden="false" customHeight="false" outlineLevel="0" collapsed="false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customFormat="false" ht="15.75" hidden="false" customHeight="false" outlineLevel="0" collapsed="false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customFormat="false" ht="15.75" hidden="false" customHeight="false" outlineLevel="0" collapsed="false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customFormat="false" ht="15.75" hidden="false" customHeight="false" outlineLevel="0" collapsed="false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customFormat="false" ht="15.75" hidden="false" customHeight="false" outlineLevel="0" collapsed="false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customFormat="false" ht="15.75" hidden="false" customHeight="false" outlineLevel="0" collapsed="false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customFormat="false" ht="15.75" hidden="false" customHeight="false" outlineLevel="0" collapsed="false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customFormat="false" ht="15.75" hidden="false" customHeight="false" outlineLevel="0" collapsed="false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customFormat="false" ht="15.75" hidden="false" customHeight="false" outlineLevel="0" collapsed="false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customFormat="false" ht="15.75" hidden="false" customHeight="false" outlineLevel="0" collapsed="false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customFormat="false" ht="15.75" hidden="false" customHeight="false" outlineLevel="0" collapsed="false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customFormat="false" ht="15.75" hidden="false" customHeight="false" outlineLevel="0" collapsed="false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customFormat="false" ht="15.75" hidden="false" customHeight="false" outlineLevel="0" collapsed="false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customFormat="false" ht="15.75" hidden="false" customHeight="false" outlineLevel="0" collapsed="false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customFormat="false" ht="15.75" hidden="false" customHeight="false" outlineLevel="0" collapsed="false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customFormat="false" ht="15.75" hidden="false" customHeight="false" outlineLevel="0" collapsed="false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customFormat="false" ht="15.75" hidden="false" customHeight="false" outlineLevel="0" collapsed="false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customFormat="false" ht="15.75" hidden="false" customHeight="false" outlineLevel="0" collapsed="false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customFormat="false" ht="15.75" hidden="false" customHeight="false" outlineLevel="0" collapsed="false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customFormat="false" ht="15.75" hidden="false" customHeight="false" outlineLevel="0" collapsed="false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customFormat="false" ht="15.75" hidden="false" customHeight="false" outlineLevel="0" collapsed="false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customFormat="false" ht="15.75" hidden="false" customHeight="false" outlineLevel="0" collapsed="false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customFormat="false" ht="15.75" hidden="false" customHeight="false" outlineLevel="0" collapsed="false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customFormat="false" ht="15.75" hidden="false" customHeight="false" outlineLevel="0" collapsed="false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customFormat="false" ht="15.75" hidden="false" customHeight="false" outlineLevel="0" collapsed="false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customFormat="false" ht="15.75" hidden="false" customHeight="false" outlineLevel="0" collapsed="false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customFormat="false" ht="15.75" hidden="false" customHeight="false" outlineLevel="0" collapsed="false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customFormat="false" ht="15.75" hidden="false" customHeight="false" outlineLevel="0" collapsed="false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customFormat="false" ht="15.75" hidden="false" customHeight="false" outlineLevel="0" collapsed="false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customFormat="false" ht="15.75" hidden="false" customHeight="false" outlineLevel="0" collapsed="false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customFormat="false" ht="15.75" hidden="false" customHeight="false" outlineLevel="0" collapsed="false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customFormat="false" ht="15.75" hidden="false" customHeight="false" outlineLevel="0" collapsed="false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customFormat="false" ht="15.75" hidden="false" customHeight="false" outlineLevel="0" collapsed="false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customFormat="false" ht="15.75" hidden="false" customHeight="false" outlineLevel="0" collapsed="false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customFormat="false" ht="15.75" hidden="false" customHeight="false" outlineLevel="0" collapsed="false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customFormat="false" ht="15.75" hidden="false" customHeight="false" outlineLevel="0" collapsed="false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customFormat="false" ht="15.75" hidden="false" customHeight="false" outlineLevel="0" collapsed="false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customFormat="false" ht="15.75" hidden="false" customHeight="false" outlineLevel="0" collapsed="false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customFormat="false" ht="15.75" hidden="false" customHeight="false" outlineLevel="0" collapsed="false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customFormat="false" ht="15.75" hidden="false" customHeight="false" outlineLevel="0" collapsed="false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customFormat="false" ht="15.75" hidden="false" customHeight="false" outlineLevel="0" collapsed="false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customFormat="false" ht="15.75" hidden="false" customHeight="false" outlineLevel="0" collapsed="false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customFormat="false" ht="15.75" hidden="false" customHeight="false" outlineLevel="0" collapsed="false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customFormat="false" ht="15.75" hidden="false" customHeight="false" outlineLevel="0" collapsed="false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customFormat="false" ht="15.75" hidden="false" customHeight="false" outlineLevel="0" collapsed="false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customFormat="false" ht="15.75" hidden="false" customHeight="false" outlineLevel="0" collapsed="false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customFormat="false" ht="15.75" hidden="false" customHeight="false" outlineLevel="0" collapsed="false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customFormat="false" ht="15.75" hidden="false" customHeight="false" outlineLevel="0" collapsed="false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customFormat="false" ht="15.75" hidden="false" customHeight="false" outlineLevel="0" collapsed="false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customFormat="false" ht="15.75" hidden="false" customHeight="false" outlineLevel="0" collapsed="false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customFormat="false" ht="15.75" hidden="false" customHeight="false" outlineLevel="0" collapsed="false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customFormat="false" ht="15.75" hidden="false" customHeight="false" outlineLevel="0" collapsed="false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customFormat="false" ht="15.75" hidden="false" customHeight="false" outlineLevel="0" collapsed="false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customFormat="false" ht="15.75" hidden="false" customHeight="false" outlineLevel="0" collapsed="false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customFormat="false" ht="15.75" hidden="false" customHeight="false" outlineLevel="0" collapsed="false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customFormat="false" ht="15.75" hidden="false" customHeight="false" outlineLevel="0" collapsed="false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customFormat="false" ht="15.75" hidden="false" customHeight="false" outlineLevel="0" collapsed="false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customFormat="false" ht="15.75" hidden="false" customHeight="false" outlineLevel="0" collapsed="false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customFormat="false" ht="15.75" hidden="false" customHeight="false" outlineLevel="0" collapsed="false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customFormat="false" ht="15.75" hidden="false" customHeight="false" outlineLevel="0" collapsed="false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customFormat="false" ht="15.75" hidden="false" customHeight="false" outlineLevel="0" collapsed="false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customFormat="false" ht="15.75" hidden="false" customHeight="false" outlineLevel="0" collapsed="false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customFormat="false" ht="15.75" hidden="false" customHeight="false" outlineLevel="0" collapsed="false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customFormat="false" ht="15.75" hidden="false" customHeight="false" outlineLevel="0" collapsed="false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customFormat="false" ht="15.75" hidden="false" customHeight="false" outlineLevel="0" collapsed="false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customFormat="false" ht="15.75" hidden="false" customHeight="false" outlineLevel="0" collapsed="false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customFormat="false" ht="15.75" hidden="false" customHeight="false" outlineLevel="0" collapsed="false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customFormat="false" ht="15.75" hidden="false" customHeight="false" outlineLevel="0" collapsed="false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customFormat="false" ht="15.75" hidden="false" customHeight="false" outlineLevel="0" collapsed="false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customFormat="false" ht="15.75" hidden="false" customHeight="false" outlineLevel="0" collapsed="false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customFormat="false" ht="15.75" hidden="false" customHeight="false" outlineLevel="0" collapsed="false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customFormat="false" ht="15.75" hidden="false" customHeight="false" outlineLevel="0" collapsed="false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customFormat="false" ht="15.75" hidden="false" customHeight="false" outlineLevel="0" collapsed="false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customFormat="false" ht="15.75" hidden="false" customHeight="false" outlineLevel="0" collapsed="false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customFormat="false" ht="15.75" hidden="false" customHeight="false" outlineLevel="0" collapsed="false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customFormat="false" ht="15.75" hidden="false" customHeight="false" outlineLevel="0" collapsed="false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customFormat="false" ht="15.75" hidden="false" customHeight="false" outlineLevel="0" collapsed="false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customFormat="false" ht="15.75" hidden="false" customHeight="false" outlineLevel="0" collapsed="false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customFormat="false" ht="15.75" hidden="false" customHeight="false" outlineLevel="0" collapsed="false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customFormat="false" ht="15.75" hidden="false" customHeight="false" outlineLevel="0" collapsed="false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customFormat="false" ht="15.75" hidden="false" customHeight="false" outlineLevel="0" collapsed="false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customFormat="false" ht="15.75" hidden="false" customHeight="false" outlineLevel="0" collapsed="false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customFormat="false" ht="15.75" hidden="false" customHeight="false" outlineLevel="0" collapsed="false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customFormat="false" ht="15.75" hidden="false" customHeight="false" outlineLevel="0" collapsed="false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customFormat="false" ht="15.75" hidden="false" customHeight="false" outlineLevel="0" collapsed="false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customFormat="false" ht="15.75" hidden="false" customHeight="false" outlineLevel="0" collapsed="false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customFormat="false" ht="15.75" hidden="false" customHeight="false" outlineLevel="0" collapsed="false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customFormat="false" ht="15.75" hidden="false" customHeight="false" outlineLevel="0" collapsed="false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customFormat="false" ht="15.75" hidden="false" customHeight="false" outlineLevel="0" collapsed="false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customFormat="false" ht="15.75" hidden="false" customHeight="false" outlineLevel="0" collapsed="false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customFormat="false" ht="15.75" hidden="false" customHeight="false" outlineLevel="0" collapsed="false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customFormat="false" ht="15.75" hidden="false" customHeight="false" outlineLevel="0" collapsed="false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customFormat="false" ht="15.75" hidden="false" customHeight="false" outlineLevel="0" collapsed="false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customFormat="false" ht="15.75" hidden="false" customHeight="false" outlineLevel="0" collapsed="false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customFormat="false" ht="15.75" hidden="false" customHeight="false" outlineLevel="0" collapsed="false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customFormat="false" ht="15.75" hidden="false" customHeight="false" outlineLevel="0" collapsed="false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117</v>
      </c>
    </row>
    <row r="2" customFormat="false" ht="15.75" hidden="false" customHeight="false" outlineLevel="0" collapsed="false">
      <c r="A2" s="23" t="s">
        <v>115</v>
      </c>
    </row>
    <row r="3" customFormat="false" ht="15.75" hidden="false" customHeight="false" outlineLevel="0" collapsed="false">
      <c r="A3" s="16" t="s">
        <v>372</v>
      </c>
    </row>
    <row r="4" customFormat="false" ht="15.75" hidden="false" customHeight="false" outlineLevel="0" collapsed="false">
      <c r="A4" s="17" t="n">
        <v>4893</v>
      </c>
    </row>
    <row r="5" customFormat="false" ht="15.75" hidden="false" customHeight="false" outlineLevel="0" collapsed="false">
      <c r="A5" s="16" t="s">
        <v>373</v>
      </c>
    </row>
    <row r="6" customFormat="false" ht="15.75" hidden="false" customHeight="false" outlineLevel="0" collapsed="false">
      <c r="A6" s="17" t="n">
        <v>10006</v>
      </c>
    </row>
    <row r="7" customFormat="false" ht="15.75" hidden="false" customHeight="false" outlineLevel="0" collapsed="false">
      <c r="A7" s="16" t="s">
        <v>331</v>
      </c>
    </row>
    <row r="8" customFormat="false" ht="15.75" hidden="false" customHeight="false" outlineLevel="0" collapsed="false">
      <c r="A8" s="17" t="n">
        <v>20011</v>
      </c>
    </row>
    <row r="9" customFormat="false" ht="15.75" hidden="false" customHeight="false" outlineLevel="0" collapsed="false">
      <c r="A9" s="16" t="s">
        <v>337</v>
      </c>
    </row>
    <row r="10" customFormat="false" ht="15.75" hidden="false" customHeight="false" outlineLevel="0" collapsed="false">
      <c r="A10" s="17" t="n">
        <v>50025</v>
      </c>
    </row>
    <row r="11" customFormat="false" ht="15.75" hidden="false" customHeight="false" outlineLevel="0" collapsed="false">
      <c r="A11" s="16" t="s">
        <v>374</v>
      </c>
    </row>
    <row r="12" customFormat="false" ht="15.75" hidden="false" customHeight="false" outlineLevel="0" collapsed="false">
      <c r="A12" s="17" t="n">
        <v>100049</v>
      </c>
    </row>
    <row r="13" customFormat="false" ht="15.75" hidden="false" customHeight="false" outlineLevel="0" collapsed="false">
      <c r="A13" s="16" t="s">
        <v>375</v>
      </c>
    </row>
    <row r="14" customFormat="false" ht="15.75" hidden="false" customHeight="false" outlineLevel="0" collapsed="false">
      <c r="A14" s="17" t="n">
        <v>117405</v>
      </c>
    </row>
    <row r="15" customFormat="false" ht="15.75" hidden="false" customHeight="false" outlineLevel="0" collapsed="false">
      <c r="A15" s="16" t="s">
        <v>376</v>
      </c>
    </row>
    <row r="16" customFormat="false" ht="15.75" hidden="false" customHeight="false" outlineLevel="0" collapsed="false">
      <c r="A16" s="17" t="n">
        <v>200096</v>
      </c>
    </row>
    <row r="17" customFormat="false" ht="15.75" hidden="false" customHeight="false" outlineLevel="0" collapsed="false">
      <c r="A17" s="16" t="s">
        <v>377</v>
      </c>
    </row>
    <row r="18" customFormat="false" ht="15.75" hidden="false" customHeight="false" outlineLevel="0" collapsed="false">
      <c r="A18" s="17" t="n">
        <v>300144</v>
      </c>
    </row>
    <row r="19" customFormat="false" ht="15.75" hidden="false" customHeight="false" outlineLevel="0" collapsed="false">
      <c r="A19" s="16" t="s">
        <v>378</v>
      </c>
    </row>
    <row r="20" customFormat="false" ht="15.75" hidden="false" customHeight="false" outlineLevel="0" collapsed="false">
      <c r="A20" s="17" t="n">
        <v>371781</v>
      </c>
    </row>
    <row r="21" customFormat="false" ht="15.75" hidden="false" customHeight="false" outlineLevel="0" collapsed="false">
      <c r="A21" s="16" t="s">
        <v>379</v>
      </c>
    </row>
    <row r="22" customFormat="false" ht="15.75" hidden="false" customHeight="false" outlineLevel="0" collapsed="false">
      <c r="A22" s="17" t="n">
        <v>500240</v>
      </c>
    </row>
    <row r="23" customFormat="false" ht="15.75" hidden="false" customHeight="false" outlineLevel="0" collapsed="false">
      <c r="A23" s="16" t="s">
        <v>380</v>
      </c>
    </row>
    <row r="24" customFormat="false" ht="15.75" hidden="false" customHeight="false" outlineLevel="0" collapsed="false">
      <c r="A24" s="17" t="n">
        <v>714210</v>
      </c>
    </row>
    <row r="25" customFormat="false" ht="15.75" hidden="false" customHeight="false" outlineLevel="0" collapsed="false">
      <c r="A25" s="16" t="s">
        <v>381</v>
      </c>
    </row>
    <row r="26" customFormat="false" ht="15.75" hidden="false" customHeight="false" outlineLevel="0" collapsed="false">
      <c r="A26" s="17" t="n">
        <v>1000478</v>
      </c>
    </row>
    <row r="27" customFormat="false" ht="15.75" hidden="false" customHeight="false" outlineLevel="0" collapsed="false">
      <c r="A27" s="16" t="s">
        <v>382</v>
      </c>
    </row>
    <row r="28" customFormat="false" ht="15.75" hidden="false" customHeight="false" outlineLevel="0" collapsed="false">
      <c r="A28" s="17" t="n">
        <v>2056230</v>
      </c>
    </row>
    <row r="29" customFormat="false" ht="15.75" hidden="false" customHeight="false" outlineLevel="0" collapsed="false">
      <c r="A29" s="16" t="s">
        <v>367</v>
      </c>
    </row>
    <row r="30" customFormat="false" ht="15.75" hidden="false" customHeight="false" outlineLevel="0" collapsed="false">
      <c r="A30" s="17" t="n">
        <v>5140575</v>
      </c>
    </row>
    <row r="31" customFormat="false" ht="15.75" hidden="false" customHeight="false" outlineLevel="0" collapsed="false">
      <c r="A31" s="16" t="s">
        <v>383</v>
      </c>
    </row>
    <row r="32" customFormat="false" ht="15.75" hidden="false" customHeight="false" outlineLevel="0" collapsed="false">
      <c r="A32" s="17" t="n">
        <v>10281150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1" t="s">
        <v>45</v>
      </c>
      <c r="B1" s="11" t="s">
        <v>46</v>
      </c>
      <c r="C1" s="11" t="s">
        <v>47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</row>
    <row r="2" customFormat="false" ht="15.75" hidden="false" customHeight="false" outlineLevel="0" collapsed="false">
      <c r="A2" s="26" t="s">
        <v>384</v>
      </c>
      <c r="B2" s="26" t="s">
        <v>385</v>
      </c>
      <c r="C2" s="26" t="s">
        <v>386</v>
      </c>
      <c r="D2" s="26" t="s">
        <v>387</v>
      </c>
      <c r="E2" s="26" t="s">
        <v>388</v>
      </c>
      <c r="F2" s="26" t="s">
        <v>389</v>
      </c>
      <c r="G2" s="26" t="s">
        <v>390</v>
      </c>
      <c r="H2" s="27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391</v>
      </c>
    </row>
    <row r="2" customFormat="false" ht="15.75" hidden="false" customHeight="false" outlineLevel="0" collapsed="false">
      <c r="A2" s="23" t="s">
        <v>115</v>
      </c>
    </row>
    <row r="3" customFormat="false" ht="15.75" hidden="false" customHeight="false" outlineLevel="0" collapsed="false">
      <c r="A3" s="16" t="s">
        <v>392</v>
      </c>
    </row>
    <row r="4" customFormat="false" ht="15.75" hidden="false" customHeight="false" outlineLevel="0" collapsed="false">
      <c r="A4" s="17" t="n">
        <v>16000</v>
      </c>
    </row>
    <row r="5" customFormat="false" ht="15.75" hidden="false" customHeight="false" outlineLevel="0" collapsed="false">
      <c r="A5" s="16" t="s">
        <v>393</v>
      </c>
    </row>
    <row r="6" customFormat="false" ht="15.75" hidden="false" customHeight="false" outlineLevel="0" collapsed="false">
      <c r="A6" s="17" t="n">
        <v>79000</v>
      </c>
    </row>
    <row r="7" customFormat="false" ht="15.75" hidden="false" customHeight="false" outlineLevel="0" collapsed="false">
      <c r="A7" s="16" t="s">
        <v>394</v>
      </c>
    </row>
    <row r="8" customFormat="false" ht="15.75" hidden="false" customHeight="false" outlineLevel="0" collapsed="false">
      <c r="A8" s="17" t="n">
        <v>249000</v>
      </c>
    </row>
    <row r="9" customFormat="false" ht="15.75" hidden="false" customHeight="false" outlineLevel="0" collapsed="false">
      <c r="A9" s="16" t="s">
        <v>395</v>
      </c>
    </row>
    <row r="10" customFormat="false" ht="15.75" hidden="false" customHeight="false" outlineLevel="0" collapsed="false">
      <c r="A10" s="17" t="n">
        <v>479000</v>
      </c>
    </row>
    <row r="11" customFormat="false" ht="15.75" hidden="false" customHeight="false" outlineLevel="0" collapsed="false">
      <c r="A11" s="16" t="s">
        <v>396</v>
      </c>
    </row>
    <row r="12" customFormat="false" ht="15.75" hidden="false" customHeight="false" outlineLevel="0" collapsed="false">
      <c r="A12" s="17" t="n">
        <v>799000</v>
      </c>
    </row>
    <row r="13" customFormat="false" ht="15.75" hidden="false" customHeight="false" outlineLevel="0" collapsed="false">
      <c r="A13" s="16" t="s">
        <v>397</v>
      </c>
    </row>
    <row r="14" customFormat="false" ht="15.75" hidden="false" customHeight="false" outlineLevel="0" collapsed="false">
      <c r="A14" s="17" t="n">
        <v>1599000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398</v>
      </c>
    </row>
    <row r="2" customFormat="false" ht="15.75" hidden="false" customHeight="false" outlineLevel="0" collapsed="false">
      <c r="A2" s="16" t="s">
        <v>115</v>
      </c>
    </row>
    <row r="3" customFormat="false" ht="15.75" hidden="false" customHeight="false" outlineLevel="0" collapsed="false">
      <c r="A3" s="16" t="s">
        <v>399</v>
      </c>
    </row>
    <row r="4" customFormat="false" ht="15.75" hidden="false" customHeight="false" outlineLevel="0" collapsed="false">
      <c r="A4" s="17" t="n">
        <v>54259</v>
      </c>
    </row>
    <row r="5" customFormat="false" ht="15.75" hidden="false" customHeight="false" outlineLevel="0" collapsed="false">
      <c r="A5" s="16" t="s">
        <v>400</v>
      </c>
    </row>
    <row r="6" customFormat="false" ht="15.75" hidden="false" customHeight="false" outlineLevel="0" collapsed="false">
      <c r="A6" s="17" t="n">
        <v>121113</v>
      </c>
    </row>
    <row r="7" customFormat="false" ht="15.75" hidden="false" customHeight="false" outlineLevel="0" collapsed="false">
      <c r="A7" s="16" t="s">
        <v>401</v>
      </c>
    </row>
    <row r="8" customFormat="false" ht="15.75" hidden="false" customHeight="false" outlineLevel="0" collapsed="false">
      <c r="A8" s="17" t="n">
        <v>218003</v>
      </c>
    </row>
    <row r="9" customFormat="false" ht="15.75" hidden="false" customHeight="false" outlineLevel="0" collapsed="false">
      <c r="A9" s="16" t="s">
        <v>402</v>
      </c>
    </row>
    <row r="10" customFormat="false" ht="15.75" hidden="false" customHeight="false" outlineLevel="0" collapsed="false">
      <c r="A10" s="17" t="n">
        <v>382716</v>
      </c>
    </row>
    <row r="11" customFormat="false" ht="15.75" hidden="false" customHeight="false" outlineLevel="0" collapsed="false">
      <c r="A11" s="16" t="s">
        <v>403</v>
      </c>
    </row>
    <row r="12" customFormat="false" ht="15.75" hidden="false" customHeight="false" outlineLevel="0" collapsed="false">
      <c r="A12" s="17" t="n">
        <v>547428</v>
      </c>
    </row>
    <row r="13" customFormat="false" ht="15.75" hidden="false" customHeight="false" outlineLevel="0" collapsed="false">
      <c r="A13" s="16" t="s">
        <v>404</v>
      </c>
    </row>
    <row r="14" customFormat="false" ht="15.75" hidden="false" customHeight="false" outlineLevel="0" collapsed="false">
      <c r="A14" s="17" t="n">
        <v>1093887</v>
      </c>
    </row>
    <row r="15" customFormat="false" ht="15.75" hidden="false" customHeight="false" outlineLevel="0" collapsed="false">
      <c r="A15" s="15" t="s">
        <v>405</v>
      </c>
    </row>
    <row r="16" customFormat="false" ht="15.75" hidden="false" customHeight="false" outlineLevel="0" collapsed="false">
      <c r="A16" s="16" t="s">
        <v>115</v>
      </c>
    </row>
    <row r="17" customFormat="false" ht="15.75" hidden="false" customHeight="false" outlineLevel="0" collapsed="false">
      <c r="A17" s="16" t="s">
        <v>399</v>
      </c>
    </row>
    <row r="18" customFormat="false" ht="15.75" hidden="false" customHeight="false" outlineLevel="0" collapsed="false">
      <c r="A18" s="17" t="n">
        <v>70384</v>
      </c>
    </row>
    <row r="19" customFormat="false" ht="15.75" hidden="false" customHeight="false" outlineLevel="0" collapsed="false">
      <c r="A19" s="16" t="s">
        <v>400</v>
      </c>
    </row>
    <row r="20" customFormat="false" ht="15.75" hidden="false" customHeight="false" outlineLevel="0" collapsed="false">
      <c r="A20" s="17" t="n">
        <v>154545</v>
      </c>
    </row>
    <row r="21" customFormat="false" ht="15.75" hidden="false" customHeight="false" outlineLevel="0" collapsed="false">
      <c r="A21" s="16" t="s">
        <v>401</v>
      </c>
    </row>
    <row r="22" customFormat="false" ht="15.75" hidden="false" customHeight="false" outlineLevel="0" collapsed="false">
      <c r="A22" s="17" t="n">
        <v>282649</v>
      </c>
    </row>
    <row r="23" customFormat="false" ht="15.75" hidden="false" customHeight="false" outlineLevel="0" collapsed="false">
      <c r="A23" s="16" t="s">
        <v>402</v>
      </c>
    </row>
    <row r="24" customFormat="false" ht="15.75" hidden="false" customHeight="false" outlineLevel="0" collapsed="false">
      <c r="A24" s="17" t="n">
        <v>494915</v>
      </c>
    </row>
    <row r="25" customFormat="false" ht="15.75" hidden="false" customHeight="false" outlineLevel="0" collapsed="false">
      <c r="A25" s="16" t="s">
        <v>403</v>
      </c>
    </row>
    <row r="26" customFormat="false" ht="15.75" hidden="false" customHeight="false" outlineLevel="0" collapsed="false">
      <c r="A26" s="17" t="n">
        <v>707180</v>
      </c>
    </row>
    <row r="27" customFormat="false" ht="15.75" hidden="false" customHeight="false" outlineLevel="0" collapsed="false">
      <c r="A27" s="16" t="s">
        <v>404</v>
      </c>
    </row>
    <row r="28" customFormat="false" ht="15.75" hidden="false" customHeight="false" outlineLevel="0" collapsed="false">
      <c r="A28" s="17" t="n">
        <v>1414732</v>
      </c>
    </row>
    <row r="29" customFormat="false" ht="15.75" hidden="false" customHeight="false" outlineLevel="0" collapsed="false">
      <c r="A29" s="15" t="s">
        <v>406</v>
      </c>
    </row>
    <row r="30" customFormat="false" ht="15.75" hidden="false" customHeight="false" outlineLevel="0" collapsed="false">
      <c r="A30" s="16" t="s">
        <v>115</v>
      </c>
    </row>
    <row r="31" customFormat="false" ht="15.75" hidden="false" customHeight="false" outlineLevel="0" collapsed="false">
      <c r="A31" s="16" t="s">
        <v>120</v>
      </c>
    </row>
    <row r="32" customFormat="false" ht="15.75" hidden="false" customHeight="false" outlineLevel="0" collapsed="false">
      <c r="A32" s="17" t="n">
        <v>57227</v>
      </c>
    </row>
    <row r="33" customFormat="false" ht="15.75" hidden="false" customHeight="false" outlineLevel="0" collapsed="false">
      <c r="A33" s="16" t="s">
        <v>126</v>
      </c>
    </row>
    <row r="34" customFormat="false" ht="15.75" hidden="false" customHeight="false" outlineLevel="0" collapsed="false">
      <c r="A34" s="17" t="n">
        <v>128473</v>
      </c>
    </row>
    <row r="35" customFormat="false" ht="15.75" hidden="false" customHeight="false" outlineLevel="0" collapsed="false">
      <c r="A35" s="16" t="s">
        <v>132</v>
      </c>
    </row>
    <row r="36" customFormat="false" ht="15.75" hidden="false" customHeight="false" outlineLevel="0" collapsed="false">
      <c r="A36" s="17" t="n">
        <v>234341</v>
      </c>
    </row>
    <row r="37" customFormat="false" ht="15.75" hidden="false" customHeight="false" outlineLevel="0" collapsed="false">
      <c r="A37" s="16" t="s">
        <v>138</v>
      </c>
    </row>
    <row r="38" customFormat="false" ht="15.75" hidden="false" customHeight="false" outlineLevel="0" collapsed="false">
      <c r="A38" s="17" t="n">
        <v>409166</v>
      </c>
    </row>
    <row r="39" customFormat="false" ht="15.75" hidden="false" customHeight="false" outlineLevel="0" collapsed="false">
      <c r="A39" s="16" t="s">
        <v>144</v>
      </c>
    </row>
    <row r="40" customFormat="false" ht="15.75" hidden="false" customHeight="false" outlineLevel="0" collapsed="false">
      <c r="A40" s="17" t="n">
        <v>586566</v>
      </c>
    </row>
    <row r="41" customFormat="false" ht="15.75" hidden="false" customHeight="false" outlineLevel="0" collapsed="false">
      <c r="A41" s="16" t="s">
        <v>150</v>
      </c>
    </row>
    <row r="42" customFormat="false" ht="15.75" hidden="false" customHeight="false" outlineLevel="0" collapsed="false">
      <c r="A42" s="17" t="n">
        <v>1170270</v>
      </c>
    </row>
    <row r="43" customFormat="false" ht="15.75" hidden="false" customHeight="false" outlineLevel="0" collapsed="false">
      <c r="A43" s="15" t="s">
        <v>407</v>
      </c>
    </row>
    <row r="44" customFormat="false" ht="15.75" hidden="false" customHeight="false" outlineLevel="0" collapsed="false">
      <c r="A44" s="16" t="s">
        <v>115</v>
      </c>
    </row>
    <row r="45" customFormat="false" ht="15.75" hidden="false" customHeight="false" outlineLevel="0" collapsed="false">
      <c r="A45" s="16" t="s">
        <v>120</v>
      </c>
    </row>
    <row r="46" customFormat="false" ht="15.75" hidden="false" customHeight="false" outlineLevel="0" collapsed="false">
      <c r="A46" s="17" t="n">
        <v>92783</v>
      </c>
    </row>
    <row r="47" customFormat="false" ht="15.75" hidden="false" customHeight="false" outlineLevel="0" collapsed="false">
      <c r="A47" s="16" t="s">
        <v>126</v>
      </c>
    </row>
    <row r="48" customFormat="false" ht="15.75" hidden="false" customHeight="false" outlineLevel="0" collapsed="false">
      <c r="A48" s="17" t="n">
        <v>200322</v>
      </c>
    </row>
    <row r="49" customFormat="false" ht="15.75" hidden="false" customHeight="false" outlineLevel="0" collapsed="false">
      <c r="A49" s="16" t="s">
        <v>132</v>
      </c>
    </row>
    <row r="50" customFormat="false" ht="15.75" hidden="false" customHeight="false" outlineLevel="0" collapsed="false">
      <c r="A50" s="17" t="n">
        <v>361630</v>
      </c>
    </row>
    <row r="51" customFormat="false" ht="15.75" hidden="false" customHeight="false" outlineLevel="0" collapsed="false">
      <c r="A51" s="16" t="s">
        <v>138</v>
      </c>
    </row>
    <row r="52" customFormat="false" ht="15.75" hidden="false" customHeight="false" outlineLevel="0" collapsed="false">
      <c r="A52" s="17" t="n">
        <v>630477</v>
      </c>
    </row>
    <row r="53" customFormat="false" ht="15.75" hidden="false" customHeight="false" outlineLevel="0" collapsed="false">
      <c r="A53" s="16" t="s">
        <v>144</v>
      </c>
    </row>
    <row r="54" customFormat="false" ht="15.75" hidden="false" customHeight="false" outlineLevel="0" collapsed="false">
      <c r="A54" s="17" t="n">
        <v>912768</v>
      </c>
    </row>
    <row r="55" customFormat="false" ht="15.75" hidden="false" customHeight="false" outlineLevel="0" collapsed="false">
      <c r="A55" s="16" t="s">
        <v>150</v>
      </c>
    </row>
    <row r="56" customFormat="false" ht="15.75" hidden="false" customHeight="false" outlineLevel="0" collapsed="false">
      <c r="A56" s="17" t="n">
        <v>1853733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5" min="5" style="0" width="13.5"/>
    <col collapsed="false" customWidth="true" hidden="false" outlineLevel="0" max="7" min="7" style="0" width="11.5"/>
  </cols>
  <sheetData>
    <row r="1" customFormat="false" ht="15.75" hidden="false" customHeight="false" outlineLevel="0" collapsed="false">
      <c r="A1" s="20" t="s">
        <v>45</v>
      </c>
      <c r="B1" s="20" t="s">
        <v>46</v>
      </c>
      <c r="C1" s="20" t="s">
        <v>47</v>
      </c>
      <c r="D1" s="20" t="s">
        <v>48</v>
      </c>
      <c r="E1" s="20" t="s">
        <v>49</v>
      </c>
      <c r="F1" s="20" t="s">
        <v>50</v>
      </c>
      <c r="G1" s="20" t="s">
        <v>51</v>
      </c>
      <c r="H1" s="20" t="s">
        <v>52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customFormat="false" ht="15.75" hidden="false" customHeight="false" outlineLevel="0" collapsed="false">
      <c r="A2" s="22" t="s">
        <v>408</v>
      </c>
      <c r="B2" s="22" t="s">
        <v>409</v>
      </c>
      <c r="C2" s="22" t="s">
        <v>410</v>
      </c>
      <c r="D2" s="22" t="s">
        <v>411</v>
      </c>
      <c r="E2" s="22" t="s">
        <v>412</v>
      </c>
      <c r="F2" s="22" t="s">
        <v>413</v>
      </c>
      <c r="G2" s="22" t="s">
        <v>414</v>
      </c>
      <c r="H2" s="22" t="s">
        <v>60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customFormat="false" ht="15.75" hidden="false" customHeight="false" outlineLevel="0" collapsed="false">
      <c r="A3" s="22" t="s">
        <v>415</v>
      </c>
      <c r="B3" s="22" t="s">
        <v>409</v>
      </c>
      <c r="C3" s="22" t="s">
        <v>416</v>
      </c>
      <c r="D3" s="22" t="s">
        <v>417</v>
      </c>
      <c r="E3" s="22" t="s">
        <v>418</v>
      </c>
      <c r="F3" s="22" t="s">
        <v>419</v>
      </c>
      <c r="G3" s="22" t="s">
        <v>420</v>
      </c>
      <c r="H3" s="22" t="s">
        <v>60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customFormat="false" ht="15.75" hidden="false" customHeight="false" outlineLevel="0" collapsed="false">
      <c r="A4" s="22" t="s">
        <v>421</v>
      </c>
      <c r="B4" s="22" t="s">
        <v>409</v>
      </c>
      <c r="C4" s="22" t="s">
        <v>422</v>
      </c>
      <c r="D4" s="22" t="s">
        <v>423</v>
      </c>
      <c r="E4" s="22" t="s">
        <v>424</v>
      </c>
      <c r="F4" s="22" t="s">
        <v>425</v>
      </c>
      <c r="G4" s="22" t="s">
        <v>426</v>
      </c>
      <c r="H4" s="22" t="s">
        <v>60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customFormat="false" ht="15.75" hidden="false" customHeight="false" outlineLevel="0" collapsed="false">
      <c r="A5" s="22" t="s">
        <v>427</v>
      </c>
      <c r="B5" s="22" t="s">
        <v>409</v>
      </c>
      <c r="C5" s="22" t="s">
        <v>428</v>
      </c>
      <c r="D5" s="22" t="s">
        <v>429</v>
      </c>
      <c r="E5" s="22" t="s">
        <v>430</v>
      </c>
      <c r="F5" s="22" t="s">
        <v>431</v>
      </c>
      <c r="G5" s="22" t="s">
        <v>432</v>
      </c>
      <c r="H5" s="22" t="s">
        <v>60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customFormat="false" ht="15.75" hidden="false" customHeight="false" outlineLevel="0" collapsed="false">
      <c r="A6" s="22" t="s">
        <v>433</v>
      </c>
      <c r="B6" s="22" t="s">
        <v>409</v>
      </c>
      <c r="C6" s="22" t="s">
        <v>434</v>
      </c>
      <c r="D6" s="22" t="s">
        <v>435</v>
      </c>
      <c r="E6" s="22" t="s">
        <v>436</v>
      </c>
      <c r="F6" s="22" t="s">
        <v>437</v>
      </c>
      <c r="G6" s="22" t="s">
        <v>438</v>
      </c>
      <c r="H6" s="22" t="s">
        <v>60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customFormat="false" ht="15.75" hidden="false" customHeight="false" outlineLevel="0" collapsed="false">
      <c r="A7" s="22" t="s">
        <v>439</v>
      </c>
      <c r="B7" s="22" t="s">
        <v>409</v>
      </c>
      <c r="C7" s="22" t="s">
        <v>440</v>
      </c>
      <c r="D7" s="22" t="s">
        <v>441</v>
      </c>
      <c r="E7" s="22" t="s">
        <v>442</v>
      </c>
      <c r="F7" s="22" t="s">
        <v>443</v>
      </c>
      <c r="G7" s="22" t="s">
        <v>444</v>
      </c>
      <c r="H7" s="22" t="s">
        <v>60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customFormat="false" ht="15.75" hidden="false" customHeight="false" outlineLevel="0" collapsed="false">
      <c r="A8" s="22" t="s">
        <v>445</v>
      </c>
      <c r="B8" s="22" t="s">
        <v>409</v>
      </c>
      <c r="C8" s="22" t="s">
        <v>446</v>
      </c>
      <c r="D8" s="22" t="s">
        <v>447</v>
      </c>
      <c r="E8" s="22" t="s">
        <v>448</v>
      </c>
      <c r="F8" s="22" t="s">
        <v>449</v>
      </c>
      <c r="G8" s="22" t="s">
        <v>450</v>
      </c>
      <c r="H8" s="22" t="s">
        <v>60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customFormat="false" ht="15.75" hidden="false" customHeight="false" outlineLevel="0" collapsed="false">
      <c r="A9" s="22" t="s">
        <v>451</v>
      </c>
      <c r="B9" s="22" t="s">
        <v>409</v>
      </c>
      <c r="C9" s="22" t="s">
        <v>452</v>
      </c>
      <c r="D9" s="22" t="s">
        <v>453</v>
      </c>
      <c r="E9" s="22" t="s">
        <v>454</v>
      </c>
      <c r="F9" s="22" t="s">
        <v>455</v>
      </c>
      <c r="G9" s="22" t="s">
        <v>456</v>
      </c>
      <c r="H9" s="22" t="s">
        <v>60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customFormat="false" ht="15.75" hidden="false" customHeight="false" outlineLevel="0" collapsed="false">
      <c r="A10" s="22" t="s">
        <v>457</v>
      </c>
      <c r="B10" s="22" t="s">
        <v>409</v>
      </c>
      <c r="C10" s="22" t="s">
        <v>458</v>
      </c>
      <c r="D10" s="22" t="s">
        <v>459</v>
      </c>
      <c r="E10" s="22" t="s">
        <v>460</v>
      </c>
      <c r="F10" s="22" t="s">
        <v>461</v>
      </c>
      <c r="G10" s="22" t="s">
        <v>462</v>
      </c>
      <c r="H10" s="22" t="s">
        <v>60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customFormat="false" ht="15.75" hidden="false" customHeight="false" outlineLevel="0" collapsed="false">
      <c r="A11" s="22" t="s">
        <v>463</v>
      </c>
      <c r="B11" s="22" t="s">
        <v>409</v>
      </c>
      <c r="C11" s="22" t="s">
        <v>464</v>
      </c>
      <c r="D11" s="22" t="s">
        <v>465</v>
      </c>
      <c r="E11" s="22" t="s">
        <v>466</v>
      </c>
      <c r="F11" s="22" t="s">
        <v>467</v>
      </c>
      <c r="G11" s="22" t="s">
        <v>468</v>
      </c>
      <c r="H11" s="22" t="s">
        <v>60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customFormat="false" ht="15.75" hidden="false" customHeight="false" outlineLevel="0" collapsed="false">
      <c r="A12" s="22" t="s">
        <v>469</v>
      </c>
      <c r="B12" s="22" t="s">
        <v>409</v>
      </c>
      <c r="C12" s="22" t="s">
        <v>470</v>
      </c>
      <c r="D12" s="22" t="s">
        <v>471</v>
      </c>
      <c r="E12" s="22" t="s">
        <v>472</v>
      </c>
      <c r="F12" s="22" t="s">
        <v>473</v>
      </c>
      <c r="G12" s="22" t="s">
        <v>474</v>
      </c>
      <c r="H12" s="22" t="s">
        <v>60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customFormat="false" ht="15.75" hidden="false" customHeight="false" outlineLevel="0" collapsed="false">
      <c r="A13" s="22" t="s">
        <v>475</v>
      </c>
      <c r="B13" s="22" t="s">
        <v>409</v>
      </c>
      <c r="C13" s="22" t="s">
        <v>476</v>
      </c>
      <c r="D13" s="22" t="s">
        <v>477</v>
      </c>
      <c r="E13" s="22" t="s">
        <v>478</v>
      </c>
      <c r="F13" s="22" t="s">
        <v>479</v>
      </c>
      <c r="G13" s="22" t="s">
        <v>480</v>
      </c>
      <c r="H13" s="22" t="s">
        <v>60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customFormat="false" ht="15.75" hidden="false" customHeight="false" outlineLevel="0" collapsed="false">
      <c r="A14" s="22" t="s">
        <v>481</v>
      </c>
      <c r="B14" s="22" t="s">
        <v>409</v>
      </c>
      <c r="C14" s="22" t="s">
        <v>482</v>
      </c>
      <c r="D14" s="22" t="s">
        <v>483</v>
      </c>
      <c r="E14" s="22" t="s">
        <v>484</v>
      </c>
      <c r="F14" s="22" t="s">
        <v>485</v>
      </c>
      <c r="G14" s="22" t="s">
        <v>486</v>
      </c>
      <c r="H14" s="22" t="s">
        <v>60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customFormat="false" ht="15.75" hidden="false" customHeight="false" outlineLevel="0" collapsed="false">
      <c r="A15" s="22" t="s">
        <v>487</v>
      </c>
      <c r="B15" s="22" t="s">
        <v>409</v>
      </c>
      <c r="C15" s="22" t="s">
        <v>488</v>
      </c>
      <c r="D15" s="22" t="s">
        <v>489</v>
      </c>
      <c r="E15" s="22" t="s">
        <v>490</v>
      </c>
      <c r="F15" s="22" t="s">
        <v>491</v>
      </c>
      <c r="G15" s="22" t="s">
        <v>492</v>
      </c>
      <c r="H15" s="22" t="s">
        <v>60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customFormat="false" ht="15.75" hidden="false" customHeight="false" outlineLevel="0" collapsed="false">
      <c r="A16" s="22" t="s">
        <v>493</v>
      </c>
      <c r="B16" s="22" t="s">
        <v>409</v>
      </c>
      <c r="C16" s="22" t="s">
        <v>494</v>
      </c>
      <c r="D16" s="22" t="s">
        <v>295</v>
      </c>
      <c r="E16" s="22" t="s">
        <v>495</v>
      </c>
      <c r="F16" s="22" t="s">
        <v>496</v>
      </c>
      <c r="G16" s="22" t="s">
        <v>497</v>
      </c>
      <c r="H16" s="22" t="s">
        <v>60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customFormat="false" ht="15.75" hidden="false" customHeight="false" outlineLevel="0" collapsed="false">
      <c r="A17" s="22" t="s">
        <v>498</v>
      </c>
      <c r="B17" s="22" t="s">
        <v>409</v>
      </c>
      <c r="C17" s="22" t="s">
        <v>499</v>
      </c>
      <c r="D17" s="22" t="s">
        <v>500</v>
      </c>
      <c r="E17" s="22" t="s">
        <v>501</v>
      </c>
      <c r="F17" s="22" t="s">
        <v>502</v>
      </c>
      <c r="G17" s="22" t="s">
        <v>503</v>
      </c>
      <c r="H17" s="22" t="s">
        <v>60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customFormat="false" ht="15.75" hidden="false" customHeight="false" outlineLevel="0" collapsed="false">
      <c r="A18" s="22" t="s">
        <v>504</v>
      </c>
      <c r="B18" s="22" t="s">
        <v>409</v>
      </c>
      <c r="C18" s="22" t="s">
        <v>505</v>
      </c>
      <c r="D18" s="22" t="s">
        <v>506</v>
      </c>
      <c r="E18" s="22" t="s">
        <v>507</v>
      </c>
      <c r="F18" s="22" t="s">
        <v>508</v>
      </c>
      <c r="G18" s="22" t="s">
        <v>509</v>
      </c>
      <c r="H18" s="22" t="s">
        <v>60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customFormat="false" ht="15.75" hidden="false" customHeight="false" outlineLevel="0" collapsed="false">
      <c r="A19" s="22" t="s">
        <v>510</v>
      </c>
      <c r="B19" s="22" t="s">
        <v>409</v>
      </c>
      <c r="C19" s="22" t="s">
        <v>511</v>
      </c>
      <c r="D19" s="22" t="s">
        <v>512</v>
      </c>
      <c r="E19" s="22" t="s">
        <v>513</v>
      </c>
      <c r="F19" s="22" t="s">
        <v>514</v>
      </c>
      <c r="G19" s="22" t="s">
        <v>515</v>
      </c>
      <c r="H19" s="22" t="s">
        <v>60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customFormat="false" ht="15.75" hidden="false" customHeight="false" outlineLevel="0" collapsed="false">
      <c r="A20" s="22" t="s">
        <v>516</v>
      </c>
      <c r="B20" s="22" t="s">
        <v>409</v>
      </c>
      <c r="C20" s="22" t="s">
        <v>517</v>
      </c>
      <c r="D20" s="22" t="s">
        <v>518</v>
      </c>
      <c r="E20" s="22" t="s">
        <v>519</v>
      </c>
      <c r="F20" s="22" t="s">
        <v>520</v>
      </c>
      <c r="G20" s="22" t="s">
        <v>521</v>
      </c>
      <c r="H20" s="22" t="s">
        <v>60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customFormat="false" ht="15.75" hidden="false" customHeight="false" outlineLevel="0" collapsed="false">
      <c r="A21" s="22" t="s">
        <v>522</v>
      </c>
      <c r="B21" s="22" t="s">
        <v>409</v>
      </c>
      <c r="C21" s="22" t="s">
        <v>523</v>
      </c>
      <c r="D21" s="22" t="s">
        <v>524</v>
      </c>
      <c r="E21" s="22" t="s">
        <v>525</v>
      </c>
      <c r="F21" s="22" t="s">
        <v>526</v>
      </c>
      <c r="G21" s="22" t="s">
        <v>527</v>
      </c>
      <c r="H21" s="22" t="s">
        <v>60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customFormat="false" ht="15.75" hidden="false" customHeight="false" outlineLevel="0" collapsed="false">
      <c r="A22" s="22" t="s">
        <v>528</v>
      </c>
      <c r="B22" s="22" t="s">
        <v>409</v>
      </c>
      <c r="C22" s="22" t="s">
        <v>529</v>
      </c>
      <c r="D22" s="22" t="s">
        <v>530</v>
      </c>
      <c r="E22" s="22" t="s">
        <v>531</v>
      </c>
      <c r="F22" s="22" t="s">
        <v>532</v>
      </c>
      <c r="G22" s="22" t="s">
        <v>533</v>
      </c>
      <c r="H22" s="22" t="s">
        <v>60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customFormat="false" ht="15.75" hidden="false" customHeight="false" outlineLevel="0" collapsed="false">
      <c r="A23" s="22" t="s">
        <v>534</v>
      </c>
      <c r="B23" s="22" t="s">
        <v>409</v>
      </c>
      <c r="C23" s="22" t="s">
        <v>535</v>
      </c>
      <c r="D23" s="22" t="s">
        <v>536</v>
      </c>
      <c r="E23" s="22" t="s">
        <v>537</v>
      </c>
      <c r="F23" s="22" t="s">
        <v>538</v>
      </c>
      <c r="G23" s="22" t="s">
        <v>539</v>
      </c>
      <c r="H23" s="22" t="s">
        <v>60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customFormat="false" ht="15.75" hidden="false" customHeight="false" outlineLevel="0" collapsed="false">
      <c r="A24" s="22" t="s">
        <v>540</v>
      </c>
      <c r="B24" s="22" t="s">
        <v>409</v>
      </c>
      <c r="C24" s="22" t="s">
        <v>541</v>
      </c>
      <c r="D24" s="22" t="s">
        <v>542</v>
      </c>
      <c r="E24" s="22" t="s">
        <v>543</v>
      </c>
      <c r="F24" s="22" t="s">
        <v>544</v>
      </c>
      <c r="G24" s="22" t="s">
        <v>545</v>
      </c>
      <c r="H24" s="22" t="s">
        <v>60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customFormat="false" ht="15.75" hidden="false" customHeight="false" outlineLevel="0" collapsed="false">
      <c r="A25" s="22" t="s">
        <v>546</v>
      </c>
      <c r="B25" s="22" t="s">
        <v>409</v>
      </c>
      <c r="C25" s="22" t="s">
        <v>547</v>
      </c>
      <c r="D25" s="22" t="s">
        <v>548</v>
      </c>
      <c r="E25" s="22" t="s">
        <v>549</v>
      </c>
      <c r="F25" s="22" t="s">
        <v>550</v>
      </c>
      <c r="G25" s="22" t="s">
        <v>551</v>
      </c>
      <c r="H25" s="22" t="s">
        <v>60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customFormat="false" ht="15.75" hidden="false" customHeight="false" outlineLevel="0" collapsed="false">
      <c r="A26" s="22" t="s">
        <v>552</v>
      </c>
      <c r="B26" s="22" t="s">
        <v>409</v>
      </c>
      <c r="C26" s="22" t="s">
        <v>553</v>
      </c>
      <c r="D26" s="22" t="s">
        <v>554</v>
      </c>
      <c r="E26" s="22" t="s">
        <v>555</v>
      </c>
      <c r="F26" s="22" t="s">
        <v>556</v>
      </c>
      <c r="G26" s="22" t="s">
        <v>557</v>
      </c>
      <c r="H26" s="22" t="s">
        <v>60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customFormat="false" ht="15.75" hidden="false" customHeight="false" outlineLevel="0" collapsed="false">
      <c r="A27" s="22" t="s">
        <v>558</v>
      </c>
      <c r="B27" s="22" t="s">
        <v>409</v>
      </c>
      <c r="C27" s="22" t="s">
        <v>559</v>
      </c>
      <c r="D27" s="22" t="s">
        <v>560</v>
      </c>
      <c r="E27" s="22" t="s">
        <v>561</v>
      </c>
      <c r="F27" s="22" t="s">
        <v>562</v>
      </c>
      <c r="G27" s="22" t="s">
        <v>563</v>
      </c>
      <c r="H27" s="22" t="s">
        <v>60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customFormat="false" ht="15.75" hidden="false" customHeight="false" outlineLevel="0" collapsed="false">
      <c r="A28" s="22" t="s">
        <v>564</v>
      </c>
      <c r="B28" s="22" t="s">
        <v>409</v>
      </c>
      <c r="C28" s="22" t="s">
        <v>565</v>
      </c>
      <c r="D28" s="22" t="s">
        <v>566</v>
      </c>
      <c r="E28" s="22" t="s">
        <v>567</v>
      </c>
      <c r="F28" s="22" t="s">
        <v>568</v>
      </c>
      <c r="G28" s="22" t="s">
        <v>569</v>
      </c>
      <c r="H28" s="22" t="s">
        <v>60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customFormat="false" ht="15.75" hidden="false" customHeight="false" outlineLevel="0" collapsed="false">
      <c r="A29" s="22" t="s">
        <v>570</v>
      </c>
      <c r="B29" s="22" t="s">
        <v>409</v>
      </c>
      <c r="C29" s="22" t="s">
        <v>571</v>
      </c>
      <c r="D29" s="22" t="s">
        <v>572</v>
      </c>
      <c r="E29" s="22" t="s">
        <v>573</v>
      </c>
      <c r="F29" s="22" t="s">
        <v>574</v>
      </c>
      <c r="G29" s="22" t="s">
        <v>575</v>
      </c>
      <c r="H29" s="22" t="s">
        <v>60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customFormat="false" ht="15.75" hidden="false" customHeight="false" outlineLevel="0" collapsed="false">
      <c r="A30" s="22" t="s">
        <v>576</v>
      </c>
      <c r="B30" s="22" t="s">
        <v>409</v>
      </c>
      <c r="C30" s="22" t="s">
        <v>577</v>
      </c>
      <c r="D30" s="22" t="s">
        <v>578</v>
      </c>
      <c r="E30" s="22" t="s">
        <v>579</v>
      </c>
      <c r="F30" s="22" t="s">
        <v>580</v>
      </c>
      <c r="G30" s="22" t="s">
        <v>581</v>
      </c>
      <c r="H30" s="22" t="s">
        <v>60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customFormat="false" ht="15.75" hidden="false" customHeight="false" outlineLevel="0" collapsed="false">
      <c r="A31" s="22" t="s">
        <v>582</v>
      </c>
      <c r="B31" s="22" t="s">
        <v>409</v>
      </c>
      <c r="C31" s="22" t="s">
        <v>583</v>
      </c>
      <c r="D31" s="22" t="s">
        <v>584</v>
      </c>
      <c r="E31" s="22" t="s">
        <v>585</v>
      </c>
      <c r="F31" s="22" t="s">
        <v>586</v>
      </c>
      <c r="G31" s="22" t="s">
        <v>587</v>
      </c>
      <c r="H31" s="22" t="s">
        <v>60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customFormat="false" ht="15.75" hidden="false" customHeight="false" outlineLevel="0" collapsed="false">
      <c r="A32" s="22" t="s">
        <v>588</v>
      </c>
      <c r="B32" s="22" t="s">
        <v>409</v>
      </c>
      <c r="C32" s="22" t="s">
        <v>589</v>
      </c>
      <c r="D32" s="22" t="s">
        <v>590</v>
      </c>
      <c r="E32" s="22" t="s">
        <v>591</v>
      </c>
      <c r="F32" s="22" t="s">
        <v>592</v>
      </c>
      <c r="G32" s="22" t="s">
        <v>593</v>
      </c>
      <c r="H32" s="22" t="s">
        <v>60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customFormat="false" ht="15.75" hidden="false" customHeight="false" outlineLevel="0" collapsed="false">
      <c r="A33" s="22" t="s">
        <v>594</v>
      </c>
      <c r="B33" s="22" t="s">
        <v>409</v>
      </c>
      <c r="C33" s="22" t="s">
        <v>595</v>
      </c>
      <c r="D33" s="22" t="s">
        <v>596</v>
      </c>
      <c r="E33" s="22" t="s">
        <v>597</v>
      </c>
      <c r="F33" s="22" t="s">
        <v>598</v>
      </c>
      <c r="G33" s="22" t="s">
        <v>599</v>
      </c>
      <c r="H33" s="22" t="s">
        <v>60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customFormat="false" ht="15.75" hidden="false" customHeight="false" outlineLevel="0" collapsed="false">
      <c r="A34" s="22" t="s">
        <v>600</v>
      </c>
      <c r="B34" s="22" t="s">
        <v>409</v>
      </c>
      <c r="C34" s="22" t="s">
        <v>601</v>
      </c>
      <c r="D34" s="22" t="s">
        <v>602</v>
      </c>
      <c r="E34" s="22" t="s">
        <v>603</v>
      </c>
      <c r="F34" s="22" t="s">
        <v>604</v>
      </c>
      <c r="G34" s="22" t="s">
        <v>605</v>
      </c>
      <c r="H34" s="22" t="s">
        <v>60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customFormat="false" ht="15.75" hidden="false" customHeight="false" outlineLevel="0" collapsed="false">
      <c r="A35" s="22" t="s">
        <v>606</v>
      </c>
      <c r="B35" s="22" t="s">
        <v>409</v>
      </c>
      <c r="C35" s="22" t="s">
        <v>607</v>
      </c>
      <c r="D35" s="22" t="s">
        <v>608</v>
      </c>
      <c r="E35" s="22" t="s">
        <v>609</v>
      </c>
      <c r="F35" s="22" t="s">
        <v>610</v>
      </c>
      <c r="G35" s="22" t="s">
        <v>611</v>
      </c>
      <c r="H35" s="22" t="s">
        <v>60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customFormat="false" ht="15.75" hidden="false" customHeight="false" outlineLevel="0" collapsed="false">
      <c r="A36" s="22" t="s">
        <v>612</v>
      </c>
      <c r="B36" s="22" t="s">
        <v>409</v>
      </c>
      <c r="C36" s="22" t="s">
        <v>613</v>
      </c>
      <c r="D36" s="22" t="s">
        <v>614</v>
      </c>
      <c r="E36" s="22" t="s">
        <v>615</v>
      </c>
      <c r="F36" s="22" t="s">
        <v>616</v>
      </c>
      <c r="G36" s="22" t="s">
        <v>617</v>
      </c>
      <c r="H36" s="22" t="s">
        <v>60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customFormat="false" ht="15.75" hidden="false" customHeight="false" outlineLevel="0" collapsed="false">
      <c r="A37" s="22" t="s">
        <v>618</v>
      </c>
      <c r="B37" s="22" t="s">
        <v>409</v>
      </c>
      <c r="C37" s="22" t="s">
        <v>619</v>
      </c>
      <c r="D37" s="22" t="s">
        <v>620</v>
      </c>
      <c r="E37" s="22" t="s">
        <v>621</v>
      </c>
      <c r="F37" s="22" t="s">
        <v>622</v>
      </c>
      <c r="G37" s="22" t="s">
        <v>623</v>
      </c>
      <c r="H37" s="22" t="s">
        <v>60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customFormat="false" ht="15.75" hidden="false" customHeight="false" outlineLevel="0" collapsed="false">
      <c r="A38" s="22" t="s">
        <v>624</v>
      </c>
      <c r="B38" s="22" t="s">
        <v>409</v>
      </c>
      <c r="C38" s="22" t="s">
        <v>625</v>
      </c>
      <c r="D38" s="22" t="s">
        <v>626</v>
      </c>
      <c r="E38" s="22" t="s">
        <v>627</v>
      </c>
      <c r="F38" s="22" t="s">
        <v>628</v>
      </c>
      <c r="G38" s="22" t="s">
        <v>629</v>
      </c>
      <c r="H38" s="22" t="s">
        <v>60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customFormat="false" ht="15.75" hidden="false" customHeight="false" outlineLevel="0" collapsed="false">
      <c r="A39" s="22" t="s">
        <v>630</v>
      </c>
      <c r="B39" s="22" t="s">
        <v>409</v>
      </c>
      <c r="C39" s="22" t="s">
        <v>631</v>
      </c>
      <c r="D39" s="22" t="s">
        <v>632</v>
      </c>
      <c r="E39" s="22" t="s">
        <v>633</v>
      </c>
      <c r="F39" s="22" t="s">
        <v>634</v>
      </c>
      <c r="G39" s="22" t="s">
        <v>635</v>
      </c>
      <c r="H39" s="22" t="s">
        <v>60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customFormat="false" ht="15.75" hidden="false" customHeight="false" outlineLevel="0" collapsed="false">
      <c r="A40" s="22" t="s">
        <v>636</v>
      </c>
      <c r="B40" s="22" t="s">
        <v>409</v>
      </c>
      <c r="C40" s="22" t="s">
        <v>637</v>
      </c>
      <c r="D40" s="22" t="s">
        <v>638</v>
      </c>
      <c r="E40" s="22" t="s">
        <v>639</v>
      </c>
      <c r="F40" s="22" t="s">
        <v>640</v>
      </c>
      <c r="G40" s="22" t="s">
        <v>641</v>
      </c>
      <c r="H40" s="22" t="s">
        <v>60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customFormat="false" ht="15.75" hidden="false" customHeight="false" outlineLevel="0" collapsed="false">
      <c r="A41" s="22" t="s">
        <v>642</v>
      </c>
      <c r="B41" s="22" t="s">
        <v>409</v>
      </c>
      <c r="C41" s="22" t="s">
        <v>643</v>
      </c>
      <c r="D41" s="22" t="s">
        <v>644</v>
      </c>
      <c r="E41" s="22" t="s">
        <v>645</v>
      </c>
      <c r="F41" s="22" t="s">
        <v>646</v>
      </c>
      <c r="G41" s="22" t="s">
        <v>647</v>
      </c>
      <c r="H41" s="22" t="s">
        <v>60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customFormat="false" ht="15.75" hidden="false" customHeight="false" outlineLevel="0" collapsed="false">
      <c r="A42" s="22" t="s">
        <v>648</v>
      </c>
      <c r="B42" s="22" t="s">
        <v>409</v>
      </c>
      <c r="C42" s="22" t="s">
        <v>649</v>
      </c>
      <c r="D42" s="22" t="s">
        <v>650</v>
      </c>
      <c r="E42" s="22" t="s">
        <v>651</v>
      </c>
      <c r="F42" s="22" t="s">
        <v>652</v>
      </c>
      <c r="G42" s="22" t="s">
        <v>653</v>
      </c>
      <c r="H42" s="22" t="s">
        <v>60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customFormat="false" ht="15.75" hidden="false" customHeight="false" outlineLevel="0" collapsed="false">
      <c r="A43" s="22" t="s">
        <v>654</v>
      </c>
      <c r="B43" s="22" t="s">
        <v>409</v>
      </c>
      <c r="C43" s="22" t="s">
        <v>655</v>
      </c>
      <c r="D43" s="22" t="s">
        <v>656</v>
      </c>
      <c r="E43" s="22" t="s">
        <v>657</v>
      </c>
      <c r="F43" s="22" t="s">
        <v>658</v>
      </c>
      <c r="G43" s="22" t="s">
        <v>659</v>
      </c>
      <c r="H43" s="22" t="s">
        <v>60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customFormat="false" ht="15.75" hidden="false" customHeight="false" outlineLevel="0" collapsed="false">
      <c r="A44" s="22" t="s">
        <v>660</v>
      </c>
      <c r="B44" s="22" t="s">
        <v>409</v>
      </c>
      <c r="C44" s="22" t="s">
        <v>661</v>
      </c>
      <c r="D44" s="22" t="s">
        <v>662</v>
      </c>
      <c r="E44" s="22" t="s">
        <v>663</v>
      </c>
      <c r="F44" s="22" t="s">
        <v>664</v>
      </c>
      <c r="G44" s="22" t="s">
        <v>665</v>
      </c>
      <c r="H44" s="22" t="s">
        <v>60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customFormat="false" ht="15.75" hidden="false" customHeight="false" outlineLevel="0" collapsed="false">
      <c r="A45" s="22" t="s">
        <v>666</v>
      </c>
      <c r="B45" s="22" t="s">
        <v>409</v>
      </c>
      <c r="C45" s="22" t="s">
        <v>667</v>
      </c>
      <c r="D45" s="22" t="s">
        <v>668</v>
      </c>
      <c r="E45" s="22" t="s">
        <v>669</v>
      </c>
      <c r="F45" s="22" t="s">
        <v>670</v>
      </c>
      <c r="G45" s="22" t="s">
        <v>671</v>
      </c>
      <c r="H45" s="22" t="s">
        <v>60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customFormat="false" ht="15.75" hidden="false" customHeight="false" outlineLevel="0" collapsed="false">
      <c r="A46" s="22" t="s">
        <v>672</v>
      </c>
      <c r="B46" s="22" t="s">
        <v>409</v>
      </c>
      <c r="C46" s="22" t="s">
        <v>673</v>
      </c>
      <c r="D46" s="22" t="s">
        <v>674</v>
      </c>
      <c r="E46" s="22" t="s">
        <v>675</v>
      </c>
      <c r="F46" s="22" t="s">
        <v>676</v>
      </c>
      <c r="G46" s="22" t="s">
        <v>677</v>
      </c>
      <c r="H46" s="22" t="s">
        <v>60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customFormat="false" ht="15.75" hidden="false" customHeight="false" outlineLevel="0" collapsed="false">
      <c r="A47" s="22" t="s">
        <v>678</v>
      </c>
      <c r="B47" s="22" t="s">
        <v>409</v>
      </c>
      <c r="C47" s="22" t="s">
        <v>679</v>
      </c>
      <c r="D47" s="22" t="s">
        <v>680</v>
      </c>
      <c r="E47" s="22" t="s">
        <v>681</v>
      </c>
      <c r="F47" s="22" t="s">
        <v>682</v>
      </c>
      <c r="G47" s="22" t="s">
        <v>683</v>
      </c>
      <c r="H47" s="22" t="s">
        <v>60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customFormat="false" ht="15.75" hidden="false" customHeight="false" outlineLevel="0" collapsed="false">
      <c r="A48" s="22" t="s">
        <v>684</v>
      </c>
      <c r="B48" s="22" t="s">
        <v>409</v>
      </c>
      <c r="C48" s="22" t="s">
        <v>685</v>
      </c>
      <c r="D48" s="22" t="s">
        <v>686</v>
      </c>
      <c r="E48" s="22" t="s">
        <v>687</v>
      </c>
      <c r="F48" s="22" t="s">
        <v>688</v>
      </c>
      <c r="G48" s="22" t="s">
        <v>689</v>
      </c>
      <c r="H48" s="22" t="s">
        <v>60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customFormat="false" ht="15.75" hidden="false" customHeight="false" outlineLevel="0" collapsed="false">
      <c r="A49" s="22" t="s">
        <v>690</v>
      </c>
      <c r="B49" s="22" t="s">
        <v>409</v>
      </c>
      <c r="C49" s="22" t="s">
        <v>691</v>
      </c>
      <c r="D49" s="22" t="s">
        <v>692</v>
      </c>
      <c r="E49" s="22" t="s">
        <v>693</v>
      </c>
      <c r="F49" s="22" t="s">
        <v>694</v>
      </c>
      <c r="G49" s="22" t="s">
        <v>695</v>
      </c>
      <c r="H49" s="22" t="s">
        <v>60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customFormat="false" ht="15.75" hidden="false" customHeight="false" outlineLevel="0" collapsed="false">
      <c r="A50" s="22" t="s">
        <v>696</v>
      </c>
      <c r="B50" s="22" t="s">
        <v>409</v>
      </c>
      <c r="C50" s="22" t="s">
        <v>697</v>
      </c>
      <c r="D50" s="22" t="s">
        <v>698</v>
      </c>
      <c r="E50" s="22" t="s">
        <v>699</v>
      </c>
      <c r="F50" s="22" t="s">
        <v>700</v>
      </c>
      <c r="G50" s="22" t="s">
        <v>701</v>
      </c>
      <c r="H50" s="22" t="s">
        <v>60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customFormat="false" ht="15.75" hidden="false" customHeight="false" outlineLevel="0" collapsed="false">
      <c r="A51" s="22" t="s">
        <v>702</v>
      </c>
      <c r="B51" s="22" t="s">
        <v>409</v>
      </c>
      <c r="C51" s="22" t="s">
        <v>703</v>
      </c>
      <c r="D51" s="22" t="s">
        <v>704</v>
      </c>
      <c r="E51" s="22" t="s">
        <v>705</v>
      </c>
      <c r="F51" s="22" t="s">
        <v>706</v>
      </c>
      <c r="G51" s="22" t="s">
        <v>707</v>
      </c>
      <c r="H51" s="22" t="s">
        <v>60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customFormat="false" ht="15.75" hidden="false" customHeight="false" outlineLevel="0" collapsed="false">
      <c r="A52" s="22" t="s">
        <v>708</v>
      </c>
      <c r="B52" s="22" t="s">
        <v>409</v>
      </c>
      <c r="C52" s="22" t="s">
        <v>709</v>
      </c>
      <c r="D52" s="22" t="s">
        <v>710</v>
      </c>
      <c r="E52" s="22" t="s">
        <v>711</v>
      </c>
      <c r="F52" s="22" t="s">
        <v>712</v>
      </c>
      <c r="G52" s="22" t="s">
        <v>713</v>
      </c>
      <c r="H52" s="22" t="s">
        <v>60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customFormat="false" ht="15.75" hidden="false" customHeight="false" outlineLevel="0" collapsed="false">
      <c r="A53" s="22" t="s">
        <v>714</v>
      </c>
      <c r="B53" s="22" t="s">
        <v>409</v>
      </c>
      <c r="C53" s="22" t="s">
        <v>715</v>
      </c>
      <c r="D53" s="22" t="s">
        <v>716</v>
      </c>
      <c r="E53" s="22" t="s">
        <v>717</v>
      </c>
      <c r="F53" s="22" t="s">
        <v>718</v>
      </c>
      <c r="G53" s="22" t="s">
        <v>719</v>
      </c>
      <c r="H53" s="22" t="s">
        <v>60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customFormat="false" ht="15.75" hidden="false" customHeight="false" outlineLevel="0" collapsed="false">
      <c r="A54" s="28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customFormat="false" ht="15.75" hidden="false" customHeight="false" outlineLevel="0" collapsed="false">
      <c r="A55" s="28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customFormat="false" ht="15.75" hidden="false" customHeight="false" outlineLevel="0" collapsed="false">
      <c r="A56" s="28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customFormat="false" ht="15.75" hidden="false" customHeight="false" outlineLevel="0" collapsed="false">
      <c r="A57" s="28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customFormat="false" ht="15.75" hidden="false" customHeight="false" outlineLevel="0" collapsed="false">
      <c r="A58" s="29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customFormat="false" ht="15.75" hidden="false" customHeight="fals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customFormat="false" ht="15.75" hidden="false" customHeight="fals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customFormat="false" ht="15.75" hidden="false" customHeight="fals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51"/>
  </cols>
  <sheetData>
    <row r="1" customFormat="false" ht="15.75" hidden="false" customHeight="false" outlineLevel="0" collapsed="false">
      <c r="A1" s="15" t="s">
        <v>720</v>
      </c>
    </row>
    <row r="2" customFormat="false" ht="15.75" hidden="false" customHeight="false" outlineLevel="0" collapsed="false">
      <c r="A2" s="16" t="s">
        <v>115</v>
      </c>
    </row>
    <row r="3" customFormat="false" ht="15.75" hidden="false" customHeight="false" outlineLevel="0" collapsed="false">
      <c r="A3" s="16" t="s">
        <v>721</v>
      </c>
    </row>
    <row r="4" customFormat="false" ht="15.75" hidden="false" customHeight="false" outlineLevel="0" collapsed="false">
      <c r="A4" s="17" t="n">
        <v>1530</v>
      </c>
    </row>
    <row r="5" customFormat="false" ht="15.75" hidden="false" customHeight="false" outlineLevel="0" collapsed="false">
      <c r="A5" s="16" t="s">
        <v>722</v>
      </c>
    </row>
    <row r="6" customFormat="false" ht="15.75" hidden="false" customHeight="false" outlineLevel="0" collapsed="false">
      <c r="A6" s="17" t="n">
        <v>3111</v>
      </c>
    </row>
    <row r="7" customFormat="false" ht="15.75" hidden="false" customHeight="false" outlineLevel="0" collapsed="false">
      <c r="A7" s="16" t="s">
        <v>723</v>
      </c>
    </row>
    <row r="8" customFormat="false" ht="15.75" hidden="false" customHeight="false" outlineLevel="0" collapsed="false">
      <c r="A8" s="17" t="n">
        <v>3567</v>
      </c>
    </row>
    <row r="9" customFormat="false" ht="15.75" hidden="false" customHeight="false" outlineLevel="0" collapsed="false">
      <c r="A9" s="16" t="s">
        <v>724</v>
      </c>
    </row>
    <row r="10" customFormat="false" ht="15.75" hidden="false" customHeight="false" outlineLevel="0" collapsed="false">
      <c r="A10" s="17" t="n">
        <v>4148</v>
      </c>
    </row>
    <row r="11" customFormat="false" ht="15.75" hidden="false" customHeight="false" outlineLevel="0" collapsed="false">
      <c r="A11" s="16" t="s">
        <v>725</v>
      </c>
    </row>
    <row r="12" customFormat="false" ht="15.75" hidden="false" customHeight="false" outlineLevel="0" collapsed="false">
      <c r="A12" s="17" t="n">
        <v>4588</v>
      </c>
    </row>
    <row r="13" customFormat="false" ht="15.75" hidden="false" customHeight="false" outlineLevel="0" collapsed="false">
      <c r="A13" s="16" t="s">
        <v>726</v>
      </c>
    </row>
    <row r="14" customFormat="false" ht="15.75" hidden="false" customHeight="false" outlineLevel="0" collapsed="false">
      <c r="A14" s="17" t="n">
        <v>4779</v>
      </c>
    </row>
    <row r="15" customFormat="false" ht="15.75" hidden="false" customHeight="false" outlineLevel="0" collapsed="false">
      <c r="A15" s="16" t="s">
        <v>727</v>
      </c>
    </row>
    <row r="16" customFormat="false" ht="15.75" hidden="false" customHeight="false" outlineLevel="0" collapsed="false">
      <c r="A16" s="17" t="n">
        <v>5185</v>
      </c>
    </row>
    <row r="17" customFormat="false" ht="15.75" hidden="false" customHeight="false" outlineLevel="0" collapsed="false">
      <c r="A17" s="16" t="s">
        <v>728</v>
      </c>
    </row>
    <row r="18" customFormat="false" ht="15.75" hidden="false" customHeight="false" outlineLevel="0" collapsed="false">
      <c r="A18" s="17" t="n">
        <v>5606</v>
      </c>
    </row>
    <row r="19" customFormat="false" ht="15.75" hidden="false" customHeight="false" outlineLevel="0" collapsed="false">
      <c r="A19" s="16" t="s">
        <v>729</v>
      </c>
    </row>
    <row r="20" customFormat="false" ht="15.75" hidden="false" customHeight="false" outlineLevel="0" collapsed="false">
      <c r="A20" s="17" t="n">
        <v>6221</v>
      </c>
    </row>
    <row r="21" customFormat="false" ht="15.75" hidden="false" customHeight="false" outlineLevel="0" collapsed="false">
      <c r="A21" s="16" t="s">
        <v>730</v>
      </c>
    </row>
    <row r="22" customFormat="false" ht="15.75" hidden="false" customHeight="false" outlineLevel="0" collapsed="false">
      <c r="A22" s="17" t="n">
        <v>6677</v>
      </c>
    </row>
    <row r="23" customFormat="false" ht="15.75" hidden="false" customHeight="false" outlineLevel="0" collapsed="false">
      <c r="A23" s="16" t="s">
        <v>731</v>
      </c>
    </row>
    <row r="24" customFormat="false" ht="15.75" hidden="false" customHeight="false" outlineLevel="0" collapsed="false">
      <c r="A24" s="17" t="n">
        <v>8153</v>
      </c>
    </row>
    <row r="25" customFormat="false" ht="15.75" hidden="false" customHeight="false" outlineLevel="0" collapsed="false">
      <c r="A25" s="16" t="s">
        <v>732</v>
      </c>
    </row>
    <row r="26" customFormat="false" ht="15.75" hidden="false" customHeight="false" outlineLevel="0" collapsed="false">
      <c r="A26" s="17" t="n">
        <v>8751</v>
      </c>
    </row>
    <row r="27" customFormat="false" ht="15.75" hidden="false" customHeight="false" outlineLevel="0" collapsed="false">
      <c r="A27" s="16" t="s">
        <v>733</v>
      </c>
    </row>
    <row r="28" customFormat="false" ht="15.75" hidden="false" customHeight="false" outlineLevel="0" collapsed="false">
      <c r="A28" s="17" t="n">
        <v>9559</v>
      </c>
    </row>
    <row r="29" customFormat="false" ht="15.75" hidden="false" customHeight="false" outlineLevel="0" collapsed="false">
      <c r="A29" s="16" t="s">
        <v>734</v>
      </c>
    </row>
    <row r="30" customFormat="false" ht="15.75" hidden="false" customHeight="false" outlineLevel="0" collapsed="false">
      <c r="A30" s="17" t="n">
        <v>10367</v>
      </c>
    </row>
    <row r="31" customFormat="false" ht="15.75" hidden="false" customHeight="false" outlineLevel="0" collapsed="false">
      <c r="A31" s="16" t="s">
        <v>735</v>
      </c>
    </row>
    <row r="32" customFormat="false" ht="15.75" hidden="false" customHeight="false" outlineLevel="0" collapsed="false">
      <c r="A32" s="17" t="n">
        <v>12228</v>
      </c>
    </row>
    <row r="33" customFormat="false" ht="15.75" hidden="false" customHeight="false" outlineLevel="0" collapsed="false">
      <c r="A33" s="16" t="s">
        <v>736</v>
      </c>
    </row>
    <row r="34" customFormat="false" ht="15.75" hidden="false" customHeight="false" outlineLevel="0" collapsed="false">
      <c r="A34" s="17" t="n">
        <v>13390</v>
      </c>
    </row>
    <row r="35" customFormat="false" ht="15.75" hidden="false" customHeight="false" outlineLevel="0" collapsed="false">
      <c r="A35" s="16" t="s">
        <v>737</v>
      </c>
    </row>
    <row r="36" customFormat="false" ht="15.75" hidden="false" customHeight="false" outlineLevel="0" collapsed="false">
      <c r="A36" s="17" t="n">
        <v>13477</v>
      </c>
    </row>
    <row r="37" customFormat="false" ht="15.75" hidden="false" customHeight="false" outlineLevel="0" collapsed="false">
      <c r="A37" s="16" t="s">
        <v>738</v>
      </c>
    </row>
    <row r="38" customFormat="false" ht="15.75" hidden="false" customHeight="false" outlineLevel="0" collapsed="false">
      <c r="A38" s="17" t="n">
        <v>14337</v>
      </c>
    </row>
    <row r="39" customFormat="false" ht="15.75" hidden="false" customHeight="false" outlineLevel="0" collapsed="false">
      <c r="A39" s="16" t="s">
        <v>739</v>
      </c>
    </row>
    <row r="40" customFormat="false" ht="15.75" hidden="false" customHeight="false" outlineLevel="0" collapsed="false">
      <c r="A40" s="17" t="n">
        <v>15339</v>
      </c>
    </row>
    <row r="41" customFormat="false" ht="15.75" hidden="false" customHeight="false" outlineLevel="0" collapsed="false">
      <c r="A41" s="16" t="s">
        <v>740</v>
      </c>
    </row>
    <row r="42" customFormat="false" ht="15.75" hidden="false" customHeight="false" outlineLevel="0" collapsed="false">
      <c r="A42" s="17" t="n">
        <v>15795</v>
      </c>
    </row>
    <row r="43" customFormat="false" ht="15.75" hidden="false" customHeight="false" outlineLevel="0" collapsed="false">
      <c r="A43" s="16" t="s">
        <v>741</v>
      </c>
    </row>
    <row r="44" customFormat="false" ht="15.75" hidden="false" customHeight="false" outlineLevel="0" collapsed="false">
      <c r="A44" s="17" t="n">
        <v>16305</v>
      </c>
    </row>
    <row r="45" customFormat="false" ht="15.75" hidden="false" customHeight="false" outlineLevel="0" collapsed="false">
      <c r="A45" s="16" t="s">
        <v>742</v>
      </c>
    </row>
    <row r="46" customFormat="false" ht="15.75" hidden="false" customHeight="false" outlineLevel="0" collapsed="false">
      <c r="A46" s="17" t="n">
        <v>17624</v>
      </c>
    </row>
    <row r="47" customFormat="false" ht="15.75" hidden="false" customHeight="false" outlineLevel="0" collapsed="false">
      <c r="A47" s="16" t="s">
        <v>743</v>
      </c>
    </row>
    <row r="48" customFormat="false" ht="15.75" hidden="false" customHeight="false" outlineLevel="0" collapsed="false">
      <c r="A48" s="17" t="n">
        <v>17834</v>
      </c>
    </row>
    <row r="49" customFormat="false" ht="15.75" hidden="false" customHeight="false" outlineLevel="0" collapsed="false">
      <c r="A49" s="16" t="s">
        <v>744</v>
      </c>
    </row>
    <row r="50" customFormat="false" ht="15.75" hidden="false" customHeight="false" outlineLevel="0" collapsed="false">
      <c r="A50" s="17" t="n">
        <v>18942</v>
      </c>
    </row>
    <row r="51" customFormat="false" ht="15.75" hidden="false" customHeight="false" outlineLevel="0" collapsed="false">
      <c r="A51" s="16" t="s">
        <v>745</v>
      </c>
    </row>
    <row r="52" customFormat="false" ht="15.75" hidden="false" customHeight="false" outlineLevel="0" collapsed="false">
      <c r="A52" s="17" t="n">
        <v>19871</v>
      </c>
    </row>
    <row r="53" customFormat="false" ht="15.75" hidden="false" customHeight="false" outlineLevel="0" collapsed="false">
      <c r="A53" s="16" t="s">
        <v>746</v>
      </c>
    </row>
    <row r="54" customFormat="false" ht="15.75" hidden="false" customHeight="false" outlineLevel="0" collapsed="false">
      <c r="A54" s="17" t="n">
        <v>20732</v>
      </c>
    </row>
    <row r="55" customFormat="false" ht="15.75" hidden="false" customHeight="false" outlineLevel="0" collapsed="false">
      <c r="A55" s="16" t="s">
        <v>747</v>
      </c>
    </row>
    <row r="56" customFormat="false" ht="15.75" hidden="false" customHeight="false" outlineLevel="0" collapsed="false">
      <c r="A56" s="17" t="n">
        <v>21911</v>
      </c>
    </row>
    <row r="57" customFormat="false" ht="15.75" hidden="false" customHeight="false" outlineLevel="0" collapsed="false">
      <c r="A57" s="16" t="s">
        <v>748</v>
      </c>
    </row>
    <row r="58" customFormat="false" ht="15.75" hidden="false" customHeight="false" outlineLevel="0" collapsed="false">
      <c r="A58" s="17" t="n">
        <v>22595</v>
      </c>
    </row>
    <row r="59" customFormat="false" ht="15.75" hidden="false" customHeight="false" outlineLevel="0" collapsed="false">
      <c r="A59" s="16" t="s">
        <v>749</v>
      </c>
    </row>
    <row r="60" customFormat="false" ht="15.75" hidden="false" customHeight="false" outlineLevel="0" collapsed="false">
      <c r="A60" s="17" t="n">
        <v>23439</v>
      </c>
    </row>
    <row r="61" customFormat="false" ht="15.75" hidden="false" customHeight="false" outlineLevel="0" collapsed="false">
      <c r="A61" s="16" t="s">
        <v>750</v>
      </c>
    </row>
    <row r="62" customFormat="false" ht="15.75" hidden="false" customHeight="false" outlineLevel="0" collapsed="false">
      <c r="A62" s="17" t="n">
        <v>24879</v>
      </c>
    </row>
    <row r="63" customFormat="false" ht="15.75" hidden="false" customHeight="false" outlineLevel="0" collapsed="false">
      <c r="A63" s="16" t="s">
        <v>751</v>
      </c>
    </row>
    <row r="64" customFormat="false" ht="15.75" hidden="false" customHeight="false" outlineLevel="0" collapsed="false">
      <c r="A64" s="17" t="n">
        <v>25056</v>
      </c>
    </row>
    <row r="65" customFormat="false" ht="15.75" hidden="false" customHeight="false" outlineLevel="0" collapsed="false">
      <c r="A65" s="16" t="s">
        <v>752</v>
      </c>
    </row>
    <row r="66" customFormat="false" ht="15.75" hidden="false" customHeight="false" outlineLevel="0" collapsed="false">
      <c r="A66" s="17" t="n">
        <v>25916</v>
      </c>
    </row>
    <row r="67" customFormat="false" ht="15.75" hidden="false" customHeight="false" outlineLevel="0" collapsed="false">
      <c r="A67" s="16" t="s">
        <v>753</v>
      </c>
    </row>
    <row r="68" customFormat="false" ht="15.75" hidden="false" customHeight="false" outlineLevel="0" collapsed="false">
      <c r="A68" s="17" t="n">
        <v>27864</v>
      </c>
    </row>
    <row r="69" customFormat="false" ht="15.75" hidden="false" customHeight="false" outlineLevel="0" collapsed="false">
      <c r="A69" s="16" t="s">
        <v>754</v>
      </c>
    </row>
    <row r="70" customFormat="false" ht="15.75" hidden="false" customHeight="false" outlineLevel="0" collapsed="false">
      <c r="A70" s="17" t="n">
        <v>28078</v>
      </c>
    </row>
    <row r="71" customFormat="false" ht="15.75" hidden="false" customHeight="false" outlineLevel="0" collapsed="false">
      <c r="A71" s="16" t="s">
        <v>755</v>
      </c>
    </row>
    <row r="72" customFormat="false" ht="15.75" hidden="false" customHeight="false" outlineLevel="0" collapsed="false">
      <c r="A72" s="17" t="n">
        <v>31098</v>
      </c>
    </row>
    <row r="73" customFormat="false" ht="15.75" hidden="false" customHeight="false" outlineLevel="0" collapsed="false">
      <c r="A73" s="16" t="s">
        <v>756</v>
      </c>
    </row>
    <row r="74" customFormat="false" ht="15.75" hidden="false" customHeight="false" outlineLevel="0" collapsed="false">
      <c r="A74" s="17" t="n">
        <v>31591</v>
      </c>
    </row>
    <row r="75" customFormat="false" ht="15.75" hidden="false" customHeight="false" outlineLevel="0" collapsed="false">
      <c r="A75" s="16" t="s">
        <v>757</v>
      </c>
    </row>
    <row r="76" customFormat="false" ht="15.75" hidden="false" customHeight="false" outlineLevel="0" collapsed="false">
      <c r="A76" s="17" t="n">
        <v>33031</v>
      </c>
    </row>
    <row r="77" customFormat="false" ht="15.75" hidden="false" customHeight="false" outlineLevel="0" collapsed="false">
      <c r="A77" s="16" t="s">
        <v>758</v>
      </c>
    </row>
    <row r="78" customFormat="false" ht="15.75" hidden="false" customHeight="false" outlineLevel="0" collapsed="false">
      <c r="A78" s="17" t="n">
        <v>35667</v>
      </c>
    </row>
    <row r="79" customFormat="false" ht="15.75" hidden="false" customHeight="false" outlineLevel="0" collapsed="false">
      <c r="A79" s="16" t="s">
        <v>759</v>
      </c>
    </row>
    <row r="80" customFormat="false" ht="15.75" hidden="false" customHeight="false" outlineLevel="0" collapsed="false">
      <c r="A80" s="17" t="n">
        <v>41463</v>
      </c>
    </row>
    <row r="81" customFormat="false" ht="15.75" hidden="false" customHeight="false" outlineLevel="0" collapsed="false">
      <c r="A81" s="16" t="s">
        <v>760</v>
      </c>
    </row>
    <row r="82" customFormat="false" ht="15.75" hidden="false" customHeight="false" outlineLevel="0" collapsed="false">
      <c r="A82" s="17" t="n">
        <v>46876</v>
      </c>
    </row>
    <row r="83" customFormat="false" ht="15.75" hidden="false" customHeight="false" outlineLevel="0" collapsed="false">
      <c r="A83" s="16" t="s">
        <v>761</v>
      </c>
    </row>
    <row r="84" customFormat="false" ht="15.75" hidden="false" customHeight="false" outlineLevel="0" collapsed="false">
      <c r="A84" s="17" t="n">
        <v>49758</v>
      </c>
    </row>
    <row r="85" customFormat="false" ht="15.75" hidden="false" customHeight="false" outlineLevel="0" collapsed="false">
      <c r="A85" s="16" t="s">
        <v>762</v>
      </c>
    </row>
    <row r="86" customFormat="false" ht="15.75" hidden="false" customHeight="false" outlineLevel="0" collapsed="false">
      <c r="A86" s="17" t="n">
        <v>53097</v>
      </c>
    </row>
    <row r="87" customFormat="false" ht="15.75" hidden="false" customHeight="false" outlineLevel="0" collapsed="false">
      <c r="A87" s="16" t="s">
        <v>763</v>
      </c>
    </row>
    <row r="88" customFormat="false" ht="15.75" hidden="false" customHeight="false" outlineLevel="0" collapsed="false">
      <c r="A88" s="17" t="n">
        <v>62193</v>
      </c>
    </row>
    <row r="89" customFormat="false" ht="15.75" hidden="false" customHeight="false" outlineLevel="0" collapsed="false">
      <c r="A89" s="16" t="s">
        <v>764</v>
      </c>
    </row>
    <row r="90" customFormat="false" ht="15.75" hidden="false" customHeight="false" outlineLevel="0" collapsed="false">
      <c r="A90" s="17" t="n">
        <v>66201</v>
      </c>
    </row>
    <row r="91" customFormat="false" ht="15.75" hidden="false" customHeight="false" outlineLevel="0" collapsed="false">
      <c r="A91" s="16" t="s">
        <v>765</v>
      </c>
    </row>
    <row r="92" customFormat="false" ht="15.75" hidden="false" customHeight="false" outlineLevel="0" collapsed="false">
      <c r="A92" s="17" t="n">
        <v>67870</v>
      </c>
    </row>
    <row r="93" customFormat="false" ht="15.75" hidden="false" customHeight="false" outlineLevel="0" collapsed="false">
      <c r="A93" s="16" t="s">
        <v>766</v>
      </c>
    </row>
    <row r="94" customFormat="false" ht="15.75" hidden="false" customHeight="false" outlineLevel="0" collapsed="false">
      <c r="A94" s="17" t="n">
        <v>77741</v>
      </c>
    </row>
    <row r="95" customFormat="false" ht="15.75" hidden="false" customHeight="false" outlineLevel="0" collapsed="false">
      <c r="A95" s="16" t="s">
        <v>767</v>
      </c>
    </row>
    <row r="96" customFormat="false" ht="15.75" hidden="false" customHeight="false" outlineLevel="0" collapsed="false">
      <c r="A96" s="17" t="n">
        <v>78429</v>
      </c>
    </row>
    <row r="97" customFormat="false" ht="15.75" hidden="false" customHeight="false" outlineLevel="0" collapsed="false">
      <c r="A97" s="16" t="s">
        <v>768</v>
      </c>
    </row>
    <row r="98" customFormat="false" ht="15.75" hidden="false" customHeight="false" outlineLevel="0" collapsed="false">
      <c r="A98" s="17" t="n">
        <v>81478</v>
      </c>
    </row>
    <row r="99" customFormat="false" ht="15.75" hidden="false" customHeight="false" outlineLevel="0" collapsed="false">
      <c r="A99" s="16" t="s">
        <v>769</v>
      </c>
    </row>
    <row r="100" customFormat="false" ht="15.75" hidden="false" customHeight="false" outlineLevel="0" collapsed="false">
      <c r="A100" s="17" t="n">
        <v>86036</v>
      </c>
    </row>
    <row r="101" customFormat="false" ht="15.75" hidden="false" customHeight="false" outlineLevel="0" collapsed="false">
      <c r="A101" s="16" t="s">
        <v>770</v>
      </c>
    </row>
    <row r="102" customFormat="false" ht="15.75" hidden="false" customHeight="false" outlineLevel="0" collapsed="false">
      <c r="A102" s="17" t="n">
        <v>103654</v>
      </c>
    </row>
    <row r="103" customFormat="false" ht="15.75" hidden="false" customHeight="false" outlineLevel="0" collapsed="false">
      <c r="A103" s="16" t="s">
        <v>771</v>
      </c>
    </row>
    <row r="104" customFormat="false" ht="15.75" hidden="false" customHeight="false" outlineLevel="0" collapsed="false">
      <c r="A104" s="17" t="n">
        <v>107801</v>
      </c>
    </row>
    <row r="105" customFormat="false" ht="15.75" hidden="false" customHeight="false" outlineLevel="0" collapsed="false">
      <c r="A105" s="16" t="s">
        <v>772</v>
      </c>
    </row>
    <row r="106" customFormat="false" ht="15.75" hidden="false" customHeight="false" outlineLevel="0" collapsed="false">
      <c r="A106" s="17" t="n">
        <v>112032</v>
      </c>
    </row>
    <row r="107" customFormat="false" ht="15.75" hidden="false" customHeight="false" outlineLevel="0" collapsed="false">
      <c r="A107" s="16" t="s">
        <v>773</v>
      </c>
    </row>
    <row r="108" customFormat="false" ht="15.75" hidden="false" customHeight="false" outlineLevel="0" collapsed="false">
      <c r="A108" s="17" t="n">
        <v>145116</v>
      </c>
    </row>
    <row r="109" customFormat="false" ht="15.75" hidden="false" customHeight="false" outlineLevel="0" collapsed="false">
      <c r="A109" s="16" t="s">
        <v>774</v>
      </c>
    </row>
    <row r="110" customFormat="false" ht="15.75" hidden="false" customHeight="false" outlineLevel="0" collapsed="false">
      <c r="A110" s="17" t="n">
        <v>152771</v>
      </c>
    </row>
    <row r="111" customFormat="false" ht="15.75" hidden="false" customHeight="false" outlineLevel="0" collapsed="false">
      <c r="A111" s="16" t="s">
        <v>775</v>
      </c>
    </row>
    <row r="112" customFormat="false" ht="15.75" hidden="false" customHeight="false" outlineLevel="0" collapsed="false">
      <c r="A112" s="17" t="n">
        <v>194233</v>
      </c>
    </row>
    <row r="113" customFormat="false" ht="15.75" hidden="false" customHeight="false" outlineLevel="0" collapsed="false">
      <c r="A113" s="16" t="s">
        <v>776</v>
      </c>
    </row>
    <row r="114" customFormat="false" ht="15.75" hidden="false" customHeight="false" outlineLevel="0" collapsed="false">
      <c r="A114" s="17" t="n">
        <v>203213</v>
      </c>
    </row>
    <row r="115" customFormat="false" ht="15.75" hidden="false" customHeight="false" outlineLevel="0" collapsed="false">
      <c r="A115" s="16" t="s">
        <v>777</v>
      </c>
    </row>
    <row r="116" customFormat="false" ht="15.75" hidden="false" customHeight="false" outlineLevel="0" collapsed="false">
      <c r="A116" s="17" t="n">
        <v>214963</v>
      </c>
    </row>
    <row r="117" customFormat="false" ht="15.75" hidden="false" customHeight="false" outlineLevel="0" collapsed="false">
      <c r="A117" s="16" t="s">
        <v>778</v>
      </c>
    </row>
    <row r="118" customFormat="false" ht="15.75" hidden="false" customHeight="false" outlineLevel="0" collapsed="false">
      <c r="A118" s="17" t="n">
        <v>234248</v>
      </c>
    </row>
    <row r="119" customFormat="false" ht="15.75" hidden="false" customHeight="false" outlineLevel="0" collapsed="false">
      <c r="A119" s="16" t="s">
        <v>779</v>
      </c>
    </row>
    <row r="120" customFormat="false" ht="15.75" hidden="false" customHeight="false" outlineLevel="0" collapsed="false">
      <c r="A120" s="17" t="n">
        <v>259133</v>
      </c>
    </row>
    <row r="121" customFormat="false" ht="15.75" hidden="false" customHeight="false" outlineLevel="0" collapsed="false">
      <c r="A121" s="16" t="s">
        <v>780</v>
      </c>
    </row>
    <row r="122" customFormat="false" ht="15.75" hidden="false" customHeight="false" outlineLevel="0" collapsed="false">
      <c r="A122" s="17" t="n">
        <v>287522</v>
      </c>
    </row>
    <row r="123" customFormat="false" ht="15.75" hidden="false" customHeight="false" outlineLevel="0" collapsed="false">
      <c r="A123" s="16" t="s">
        <v>781</v>
      </c>
    </row>
    <row r="124" customFormat="false" ht="15.75" hidden="false" customHeight="false" outlineLevel="0" collapsed="false">
      <c r="A124" s="17" t="n">
        <v>292704</v>
      </c>
    </row>
    <row r="125" customFormat="false" ht="15.75" hidden="false" customHeight="false" outlineLevel="0" collapsed="false">
      <c r="A125" s="16" t="s">
        <v>782</v>
      </c>
    </row>
    <row r="126" customFormat="false" ht="15.75" hidden="false" customHeight="false" outlineLevel="0" collapsed="false">
      <c r="A126" s="17" t="n">
        <v>305541</v>
      </c>
    </row>
    <row r="127" customFormat="false" ht="15.75" hidden="false" customHeight="false" outlineLevel="0" collapsed="false">
      <c r="A127" s="16" t="s">
        <v>783</v>
      </c>
    </row>
    <row r="128" customFormat="false" ht="15.75" hidden="false" customHeight="false" outlineLevel="0" collapsed="false">
      <c r="A128" s="17" t="n">
        <v>367734</v>
      </c>
    </row>
    <row r="129" customFormat="false" ht="15.75" hidden="false" customHeight="false" outlineLevel="0" collapsed="false">
      <c r="A129" s="16" t="s">
        <v>784</v>
      </c>
    </row>
    <row r="130" customFormat="false" ht="15.75" hidden="false" customHeight="false" outlineLevel="0" collapsed="false">
      <c r="A130" s="17" t="n">
        <v>409194</v>
      </c>
    </row>
    <row r="131" customFormat="false" ht="15.75" hidden="false" customHeight="false" outlineLevel="0" collapsed="false">
      <c r="A131" s="16" t="s">
        <v>785</v>
      </c>
    </row>
    <row r="132" customFormat="false" ht="15.75" hidden="false" customHeight="false" outlineLevel="0" collapsed="false">
      <c r="A132" s="17" t="n">
        <v>458311</v>
      </c>
    </row>
    <row r="133" customFormat="false" ht="15.75" hidden="false" customHeight="false" outlineLevel="0" collapsed="false">
      <c r="A133" s="16" t="s">
        <v>786</v>
      </c>
    </row>
    <row r="134" customFormat="false" ht="15.75" hidden="false" customHeight="false" outlineLevel="0" collapsed="false">
      <c r="A134" s="17" t="n">
        <v>509234</v>
      </c>
    </row>
    <row r="135" customFormat="false" ht="15.75" hidden="false" customHeight="false" outlineLevel="0" collapsed="false">
      <c r="A135" s="16" t="s">
        <v>787</v>
      </c>
    </row>
    <row r="136" customFormat="false" ht="15.75" hidden="false" customHeight="false" outlineLevel="0" collapsed="false">
      <c r="A136" s="17" t="n">
        <v>612887</v>
      </c>
    </row>
    <row r="137" customFormat="false" ht="15.75" hidden="false" customHeight="false" outlineLevel="0" collapsed="false">
      <c r="A137" s="16" t="s">
        <v>788</v>
      </c>
    </row>
    <row r="138" customFormat="false" ht="15.75" hidden="false" customHeight="false" outlineLevel="0" collapsed="false">
      <c r="A138" s="17" t="n">
        <v>662004</v>
      </c>
    </row>
    <row r="139" customFormat="false" ht="15.75" hidden="false" customHeight="false" outlineLevel="0" collapsed="false">
      <c r="A139" s="16" t="s">
        <v>789</v>
      </c>
    </row>
    <row r="140" customFormat="false" ht="15.75" hidden="false" customHeight="false" outlineLevel="0" collapsed="false">
      <c r="A140" s="17" t="n">
        <v>739745</v>
      </c>
    </row>
    <row r="141" customFormat="false" ht="15.75" hidden="false" customHeight="false" outlineLevel="0" collapsed="false">
      <c r="A141" s="16" t="s">
        <v>790</v>
      </c>
    </row>
    <row r="142" customFormat="false" ht="15.75" hidden="false" customHeight="false" outlineLevel="0" collapsed="false">
      <c r="A142" s="17" t="n">
        <v>814774</v>
      </c>
    </row>
    <row r="143" customFormat="false" ht="15.75" hidden="false" customHeight="false" outlineLevel="0" collapsed="false">
      <c r="A143" s="16" t="s">
        <v>791</v>
      </c>
    </row>
    <row r="144" customFormat="false" ht="15.75" hidden="false" customHeight="false" outlineLevel="0" collapsed="false">
      <c r="A144" s="17" t="n">
        <v>892515</v>
      </c>
    </row>
    <row r="145" customFormat="false" ht="15.75" hidden="false" customHeight="false" outlineLevel="0" collapsed="false">
      <c r="A145" s="16" t="s">
        <v>792</v>
      </c>
    </row>
    <row r="146" customFormat="false" ht="15.75" hidden="false" customHeight="false" outlineLevel="0" collapsed="false">
      <c r="A146" s="17" t="n">
        <v>980620</v>
      </c>
    </row>
    <row r="147" customFormat="false" ht="15.75" hidden="false" customHeight="false" outlineLevel="0" collapsed="false">
      <c r="A147" s="16" t="s">
        <v>793</v>
      </c>
    </row>
    <row r="148" customFormat="false" ht="15.75" hidden="false" customHeight="false" outlineLevel="0" collapsed="false">
      <c r="A148" s="17" t="n">
        <v>1018467</v>
      </c>
    </row>
    <row r="149" customFormat="false" ht="15.75" hidden="false" customHeight="false" outlineLevel="0" collapsed="false">
      <c r="A149" s="16" t="s">
        <v>794</v>
      </c>
    </row>
    <row r="150" customFormat="false" ht="15.75" hidden="false" customHeight="false" outlineLevel="0" collapsed="false">
      <c r="A150" s="17" t="n">
        <v>1222158</v>
      </c>
    </row>
    <row r="151" customFormat="false" ht="15.75" hidden="false" customHeight="false" outlineLevel="0" collapsed="false">
      <c r="A151" s="16" t="s">
        <v>795</v>
      </c>
    </row>
    <row r="152" customFormat="false" ht="15.75" hidden="false" customHeight="false" outlineLevel="0" collapsed="false">
      <c r="A152" s="17" t="n">
        <v>1229871</v>
      </c>
    </row>
    <row r="153" customFormat="false" ht="15.75" hidden="false" customHeight="false" outlineLevel="0" collapsed="false">
      <c r="A153" s="16" t="s">
        <v>796</v>
      </c>
    </row>
    <row r="154" customFormat="false" ht="15.75" hidden="false" customHeight="false" outlineLevel="0" collapsed="false">
      <c r="A154" s="17" t="n">
        <v>1274891</v>
      </c>
    </row>
    <row r="155" customFormat="false" ht="15.75" hidden="false" customHeight="false" outlineLevel="0" collapsed="false">
      <c r="A155" s="16" t="s">
        <v>797</v>
      </c>
    </row>
    <row r="156" customFormat="false" ht="15.75" hidden="false" customHeight="false" outlineLevel="0" collapsed="false">
      <c r="A156" s="17" t="n">
        <v>1284350</v>
      </c>
    </row>
    <row r="157" customFormat="false" ht="15.75" hidden="false" customHeight="false" outlineLevel="0" collapsed="false">
      <c r="A157" s="16" t="s">
        <v>798</v>
      </c>
    </row>
    <row r="158" customFormat="false" ht="15.75" hidden="false" customHeight="false" outlineLevel="0" collapsed="false">
      <c r="A158" s="17" t="n">
        <v>1374928</v>
      </c>
    </row>
    <row r="159" customFormat="false" ht="15.75" hidden="false" customHeight="false" outlineLevel="0" collapsed="false">
      <c r="A159" s="16" t="s">
        <v>799</v>
      </c>
    </row>
    <row r="160" customFormat="false" ht="15.75" hidden="false" customHeight="false" outlineLevel="0" collapsed="false">
      <c r="A160" s="17" t="n">
        <v>1527698</v>
      </c>
    </row>
    <row r="161" customFormat="false" ht="15.75" hidden="false" customHeight="false" outlineLevel="0" collapsed="false">
      <c r="A161" s="16" t="s">
        <v>800</v>
      </c>
    </row>
    <row r="162" customFormat="false" ht="15.75" hidden="false" customHeight="false" outlineLevel="0" collapsed="false">
      <c r="A162" s="17" t="n">
        <v>1527700</v>
      </c>
    </row>
    <row r="163" customFormat="false" ht="15.75" hidden="false" customHeight="false" outlineLevel="0" collapsed="false">
      <c r="A163" s="16" t="s">
        <v>801</v>
      </c>
    </row>
    <row r="164" customFormat="false" ht="15.75" hidden="false" customHeight="false" outlineLevel="0" collapsed="false">
      <c r="A164" s="17" t="n">
        <v>1731391</v>
      </c>
    </row>
    <row r="165" customFormat="false" ht="15.75" hidden="false" customHeight="false" outlineLevel="0" collapsed="false">
      <c r="A165" s="16" t="s">
        <v>802</v>
      </c>
    </row>
    <row r="166" customFormat="false" ht="15.75" hidden="false" customHeight="false" outlineLevel="0" collapsed="false">
      <c r="A166" s="17" t="n">
        <v>1835044</v>
      </c>
    </row>
    <row r="167" customFormat="false" ht="15.75" hidden="false" customHeight="false" outlineLevel="0" collapsed="false">
      <c r="A167" s="16" t="s">
        <v>803</v>
      </c>
    </row>
    <row r="168" customFormat="false" ht="15.75" hidden="false" customHeight="false" outlineLevel="0" collapsed="false">
      <c r="A168" s="17" t="n">
        <v>1961902</v>
      </c>
    </row>
    <row r="169" customFormat="false" ht="15.75" hidden="false" customHeight="false" outlineLevel="0" collapsed="false">
      <c r="A169" s="16" t="s">
        <v>804</v>
      </c>
    </row>
    <row r="170" customFormat="false" ht="15.75" hidden="false" customHeight="false" outlineLevel="0" collapsed="false">
      <c r="A170" s="17" t="n">
        <v>2036934</v>
      </c>
    </row>
    <row r="171" customFormat="false" ht="15.75" hidden="false" customHeight="false" outlineLevel="0" collapsed="false">
      <c r="A171" s="16" t="s">
        <v>805</v>
      </c>
    </row>
    <row r="172" customFormat="false" ht="15.75" hidden="false" customHeight="false" outlineLevel="0" collapsed="false">
      <c r="A172" s="17" t="n">
        <v>2240624</v>
      </c>
    </row>
    <row r="173" customFormat="false" ht="15.75" hidden="false" customHeight="false" outlineLevel="0" collapsed="false">
      <c r="A173" s="16" t="s">
        <v>806</v>
      </c>
    </row>
    <row r="174" customFormat="false" ht="15.75" hidden="false" customHeight="false" outlineLevel="0" collapsed="false">
      <c r="A174" s="17" t="n">
        <v>2444315</v>
      </c>
    </row>
    <row r="175" customFormat="false" ht="15.75" hidden="false" customHeight="false" outlineLevel="0" collapsed="false">
      <c r="A175" s="16" t="s">
        <v>807</v>
      </c>
    </row>
    <row r="176" customFormat="false" ht="15.75" hidden="false" customHeight="false" outlineLevel="0" collapsed="false">
      <c r="A176" s="17" t="n">
        <v>2546167</v>
      </c>
    </row>
    <row r="177" customFormat="false" ht="15.75" hidden="false" customHeight="false" outlineLevel="0" collapsed="false">
      <c r="A177" s="16" t="s">
        <v>808</v>
      </c>
    </row>
    <row r="178" customFormat="false" ht="15.75" hidden="false" customHeight="false" outlineLevel="0" collapsed="false">
      <c r="A178" s="17" t="n">
        <v>3666472</v>
      </c>
    </row>
    <row r="179" customFormat="false" ht="15.75" hidden="false" customHeight="false" outlineLevel="0" collapsed="false">
      <c r="A179" s="16" t="s">
        <v>809</v>
      </c>
    </row>
    <row r="180" customFormat="false" ht="15.75" hidden="false" customHeight="false" outlineLevel="0" collapsed="false">
      <c r="A180" s="17" t="n">
        <v>4073867</v>
      </c>
    </row>
    <row r="181" customFormat="false" ht="15.75" hidden="false" customHeight="false" outlineLevel="0" collapsed="false">
      <c r="A181" s="16" t="s">
        <v>810</v>
      </c>
    </row>
    <row r="182" customFormat="false" ht="15.75" hidden="false" customHeight="false" outlineLevel="0" collapsed="false">
      <c r="A182" s="17" t="n">
        <v>5092334</v>
      </c>
    </row>
    <row r="183" customFormat="false" ht="15.75" hidden="false" customHeight="false" outlineLevel="0" collapsed="false">
      <c r="A183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5.38"/>
  </cols>
  <sheetData>
    <row r="1" customFormat="false" ht="15.75" hidden="false" customHeight="false" outlineLevel="0" collapsed="false">
      <c r="A1" s="30" t="s">
        <v>811</v>
      </c>
    </row>
    <row r="2" customFormat="false" ht="15.75" hidden="false" customHeight="false" outlineLevel="0" collapsed="false">
      <c r="A2" s="31" t="s">
        <v>812</v>
      </c>
    </row>
    <row r="3" customFormat="false" ht="15.75" hidden="false" customHeight="false" outlineLevel="0" collapsed="false">
      <c r="A3" s="32" t="s">
        <v>813</v>
      </c>
    </row>
    <row r="4" customFormat="false" ht="15.75" hidden="false" customHeight="false" outlineLevel="0" collapsed="false">
      <c r="A4" s="30" t="s">
        <v>814</v>
      </c>
    </row>
    <row r="5" customFormat="false" ht="15.75" hidden="false" customHeight="false" outlineLevel="0" collapsed="false">
      <c r="A5" s="31" t="s">
        <v>815</v>
      </c>
    </row>
    <row r="6" customFormat="false" ht="15.75" hidden="false" customHeight="false" outlineLevel="0" collapsed="false">
      <c r="A6" s="32" t="s">
        <v>816</v>
      </c>
    </row>
    <row r="7" customFormat="false" ht="15.75" hidden="false" customHeight="false" outlineLevel="0" collapsed="false">
      <c r="A7" s="30" t="s">
        <v>817</v>
      </c>
    </row>
    <row r="8" customFormat="false" ht="15.75" hidden="false" customHeight="false" outlineLevel="0" collapsed="false">
      <c r="A8" s="31" t="s">
        <v>818</v>
      </c>
    </row>
    <row r="9" customFormat="false" ht="15.75" hidden="false" customHeight="false" outlineLevel="0" collapsed="false">
      <c r="A9" s="32" t="s">
        <v>816</v>
      </c>
    </row>
    <row r="10" customFormat="false" ht="15.75" hidden="false" customHeight="false" outlineLevel="0" collapsed="false">
      <c r="A10" s="30" t="s">
        <v>819</v>
      </c>
    </row>
    <row r="11" customFormat="false" ht="15.75" hidden="false" customHeight="false" outlineLevel="0" collapsed="false">
      <c r="A11" s="31" t="s">
        <v>820</v>
      </c>
    </row>
    <row r="12" customFormat="false" ht="15.75" hidden="false" customHeight="false" outlineLevel="0" collapsed="false">
      <c r="A12" s="32" t="s">
        <v>816</v>
      </c>
    </row>
    <row r="13" customFormat="false" ht="15.75" hidden="false" customHeight="false" outlineLevel="0" collapsed="false">
      <c r="A13" s="30" t="s">
        <v>821</v>
      </c>
    </row>
    <row r="14" customFormat="false" ht="15.75" hidden="false" customHeight="false" outlineLevel="0" collapsed="false">
      <c r="A14" s="31" t="s">
        <v>822</v>
      </c>
    </row>
    <row r="15" customFormat="false" ht="15.75" hidden="false" customHeight="false" outlineLevel="0" collapsed="false">
      <c r="A15" s="32" t="s">
        <v>813</v>
      </c>
    </row>
    <row r="16" customFormat="false" ht="15.75" hidden="false" customHeight="false" outlineLevel="0" collapsed="false">
      <c r="A16" s="30" t="s">
        <v>823</v>
      </c>
    </row>
    <row r="17" customFormat="false" ht="15.75" hidden="false" customHeight="false" outlineLevel="0" collapsed="false">
      <c r="A17" s="31" t="s">
        <v>824</v>
      </c>
    </row>
    <row r="18" customFormat="false" ht="15.75" hidden="false" customHeight="false" outlineLevel="0" collapsed="false">
      <c r="A18" s="32" t="s">
        <v>813</v>
      </c>
    </row>
    <row r="19" customFormat="false" ht="15.75" hidden="false" customHeight="false" outlineLevel="0" collapsed="false">
      <c r="A19" s="30" t="s">
        <v>825</v>
      </c>
    </row>
    <row r="20" customFormat="false" ht="15.75" hidden="false" customHeight="false" outlineLevel="0" collapsed="false">
      <c r="A20" s="31" t="s">
        <v>826</v>
      </c>
    </row>
    <row r="21" customFormat="false" ht="15.75" hidden="false" customHeight="false" outlineLevel="0" collapsed="false">
      <c r="A21" s="30" t="s">
        <v>827</v>
      </c>
    </row>
    <row r="22" customFormat="false" ht="15.75" hidden="false" customHeight="false" outlineLevel="0" collapsed="false">
      <c r="A22" s="31" t="s">
        <v>828</v>
      </c>
    </row>
    <row r="23" customFormat="false" ht="15.75" hidden="false" customHeight="false" outlineLevel="0" collapsed="false">
      <c r="A23" s="30" t="s">
        <v>829</v>
      </c>
    </row>
    <row r="24" customFormat="false" ht="15.75" hidden="false" customHeight="false" outlineLevel="0" collapsed="false">
      <c r="A24" s="31" t="s">
        <v>830</v>
      </c>
    </row>
    <row r="25" customFormat="false" ht="15.75" hidden="false" customHeight="false" outlineLevel="0" collapsed="false">
      <c r="A25" s="30" t="s">
        <v>831</v>
      </c>
    </row>
    <row r="26" customFormat="false" ht="15.75" hidden="false" customHeight="false" outlineLevel="0" collapsed="false">
      <c r="A26" s="31" t="s">
        <v>832</v>
      </c>
    </row>
    <row r="27" customFormat="false" ht="15.75" hidden="false" customHeight="false" outlineLevel="0" collapsed="false">
      <c r="A27" s="30" t="s">
        <v>833</v>
      </c>
    </row>
    <row r="28" customFormat="false" ht="15.75" hidden="false" customHeight="false" outlineLevel="0" collapsed="false">
      <c r="A28" s="31" t="s">
        <v>834</v>
      </c>
    </row>
    <row r="29" customFormat="false" ht="15.75" hidden="false" customHeight="false" outlineLevel="0" collapsed="false">
      <c r="A29" s="30" t="s">
        <v>835</v>
      </c>
    </row>
    <row r="30" customFormat="false" ht="15.75" hidden="false" customHeight="false" outlineLevel="0" collapsed="false">
      <c r="A30" s="31" t="s">
        <v>836</v>
      </c>
    </row>
    <row r="31" customFormat="false" ht="15.75" hidden="false" customHeight="false" outlineLevel="0" collapsed="false">
      <c r="A31" s="30" t="s">
        <v>837</v>
      </c>
    </row>
    <row r="32" customFormat="false" ht="15.75" hidden="false" customHeight="false" outlineLevel="0" collapsed="false">
      <c r="A32" s="31" t="s">
        <v>838</v>
      </c>
    </row>
    <row r="33" customFormat="false" ht="15.75" hidden="false" customHeight="false" outlineLevel="0" collapsed="false">
      <c r="A33" s="30" t="s">
        <v>839</v>
      </c>
    </row>
    <row r="34" customFormat="false" ht="15.75" hidden="false" customHeight="false" outlineLevel="0" collapsed="false">
      <c r="A34" s="31" t="s">
        <v>840</v>
      </c>
    </row>
    <row r="35" customFormat="false" ht="15.75" hidden="false" customHeight="false" outlineLevel="0" collapsed="false">
      <c r="A35" s="30" t="s">
        <v>841</v>
      </c>
    </row>
    <row r="36" customFormat="false" ht="15.75" hidden="false" customHeight="false" outlineLevel="0" collapsed="false">
      <c r="A36" s="31" t="s">
        <v>842</v>
      </c>
    </row>
    <row r="37" customFormat="false" ht="15.75" hidden="false" customHeight="false" outlineLevel="0" collapsed="false">
      <c r="A37" s="30" t="s">
        <v>843</v>
      </c>
    </row>
    <row r="38" customFormat="false" ht="15.75" hidden="false" customHeight="false" outlineLevel="0" collapsed="false">
      <c r="A38" s="31" t="s">
        <v>844</v>
      </c>
    </row>
    <row r="39" customFormat="false" ht="15.75" hidden="false" customHeight="false" outlineLevel="0" collapsed="false">
      <c r="A39" s="30" t="s">
        <v>845</v>
      </c>
    </row>
    <row r="40" customFormat="false" ht="15.75" hidden="false" customHeight="false" outlineLevel="0" collapsed="false">
      <c r="A40" s="31" t="s">
        <v>846</v>
      </c>
    </row>
    <row r="41" customFormat="false" ht="15.75" hidden="false" customHeight="false" outlineLevel="0" collapsed="false">
      <c r="A41" s="30" t="s">
        <v>847</v>
      </c>
    </row>
    <row r="42" customFormat="false" ht="15.75" hidden="false" customHeight="false" outlineLevel="0" collapsed="false">
      <c r="A42" s="31" t="s">
        <v>848</v>
      </c>
    </row>
    <row r="43" customFormat="false" ht="15.75" hidden="false" customHeight="false" outlineLevel="0" collapsed="false">
      <c r="A43" s="30" t="s">
        <v>849</v>
      </c>
    </row>
    <row r="44" customFormat="false" ht="15.75" hidden="false" customHeight="false" outlineLevel="0" collapsed="false">
      <c r="A44" s="31" t="s">
        <v>850</v>
      </c>
    </row>
    <row r="45" customFormat="false" ht="15.75" hidden="false" customHeight="false" outlineLevel="0" collapsed="false">
      <c r="A45" s="30" t="s">
        <v>851</v>
      </c>
    </row>
    <row r="46" customFormat="false" ht="15.75" hidden="false" customHeight="false" outlineLevel="0" collapsed="false">
      <c r="A46" s="31" t="s">
        <v>852</v>
      </c>
    </row>
    <row r="47" customFormat="false" ht="15.75" hidden="false" customHeight="false" outlineLevel="0" collapsed="false">
      <c r="A47" s="30" t="s">
        <v>853</v>
      </c>
    </row>
    <row r="48" customFormat="false" ht="15.75" hidden="false" customHeight="false" outlineLevel="0" collapsed="false">
      <c r="A48" s="31" t="s">
        <v>854</v>
      </c>
    </row>
    <row r="49" customFormat="false" ht="15.75" hidden="false" customHeight="false" outlineLevel="0" collapsed="false">
      <c r="A49" s="30" t="s">
        <v>855</v>
      </c>
    </row>
    <row r="50" customFormat="false" ht="15.75" hidden="false" customHeight="false" outlineLevel="0" collapsed="false">
      <c r="A50" s="31" t="s">
        <v>856</v>
      </c>
    </row>
    <row r="51" customFormat="false" ht="15.75" hidden="false" customHeight="false" outlineLevel="0" collapsed="false">
      <c r="A51" s="30" t="s">
        <v>857</v>
      </c>
    </row>
    <row r="52" customFormat="false" ht="15.75" hidden="false" customHeight="false" outlineLevel="0" collapsed="false">
      <c r="A52" s="31" t="s">
        <v>858</v>
      </c>
    </row>
    <row r="53" customFormat="false" ht="15.75" hidden="false" customHeight="false" outlineLevel="0" collapsed="false">
      <c r="A53" s="30" t="s">
        <v>859</v>
      </c>
    </row>
    <row r="54" customFormat="false" ht="15.75" hidden="false" customHeight="false" outlineLevel="0" collapsed="false">
      <c r="A54" s="31" t="s">
        <v>860</v>
      </c>
    </row>
    <row r="55" customFormat="false" ht="15.75" hidden="false" customHeight="false" outlineLevel="0" collapsed="false">
      <c r="A55" s="30" t="s">
        <v>861</v>
      </c>
    </row>
    <row r="56" customFormat="false" ht="15.75" hidden="false" customHeight="false" outlineLevel="0" collapsed="false">
      <c r="A56" s="31" t="s">
        <v>862</v>
      </c>
    </row>
    <row r="57" customFormat="false" ht="15.75" hidden="false" customHeight="false" outlineLevel="0" collapsed="false">
      <c r="A57" s="30" t="s">
        <v>863</v>
      </c>
    </row>
    <row r="58" customFormat="false" ht="15.75" hidden="false" customHeight="false" outlineLevel="0" collapsed="false">
      <c r="A58" s="31" t="s">
        <v>864</v>
      </c>
    </row>
    <row r="59" customFormat="false" ht="15.75" hidden="false" customHeight="false" outlineLevel="0" collapsed="false">
      <c r="A59" s="30" t="s">
        <v>863</v>
      </c>
    </row>
    <row r="60" customFormat="false" ht="15.75" hidden="false" customHeight="false" outlineLevel="0" collapsed="false">
      <c r="A60" s="31" t="s">
        <v>865</v>
      </c>
    </row>
    <row r="61" customFormat="false" ht="15.75" hidden="false" customHeight="false" outlineLevel="0" collapsed="false">
      <c r="A61" s="30" t="s">
        <v>866</v>
      </c>
    </row>
    <row r="62" customFormat="false" ht="15.75" hidden="false" customHeight="false" outlineLevel="0" collapsed="false">
      <c r="A62" s="31" t="s">
        <v>867</v>
      </c>
    </row>
    <row r="63" customFormat="false" ht="15.75" hidden="false" customHeight="false" outlineLevel="0" collapsed="false">
      <c r="A63" s="30" t="s">
        <v>868</v>
      </c>
    </row>
    <row r="64" customFormat="false" ht="15.75" hidden="false" customHeight="false" outlineLevel="0" collapsed="false">
      <c r="A64" s="31" t="s">
        <v>869</v>
      </c>
    </row>
    <row r="65" customFormat="false" ht="15.75" hidden="false" customHeight="false" outlineLevel="0" collapsed="false">
      <c r="A65" s="30" t="s">
        <v>870</v>
      </c>
    </row>
    <row r="66" customFormat="false" ht="15.75" hidden="false" customHeight="false" outlineLevel="0" collapsed="false">
      <c r="A66" s="31" t="s">
        <v>871</v>
      </c>
    </row>
    <row r="67" customFormat="false" ht="15.75" hidden="false" customHeight="false" outlineLevel="0" collapsed="false">
      <c r="A67" s="30" t="s">
        <v>872</v>
      </c>
    </row>
    <row r="68" customFormat="false" ht="15.75" hidden="false" customHeight="false" outlineLevel="0" collapsed="false">
      <c r="A68" s="31" t="s">
        <v>873</v>
      </c>
    </row>
    <row r="69" customFormat="false" ht="15.75" hidden="false" customHeight="false" outlineLevel="0" collapsed="false">
      <c r="A69" s="30" t="s">
        <v>874</v>
      </c>
    </row>
    <row r="70" customFormat="false" ht="15.75" hidden="false" customHeight="false" outlineLevel="0" collapsed="false">
      <c r="A70" s="31" t="s">
        <v>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876</v>
      </c>
      <c r="B2" s="34" t="s">
        <v>877</v>
      </c>
      <c r="C2" s="34" t="s">
        <v>878</v>
      </c>
      <c r="D2" s="34" t="s">
        <v>879</v>
      </c>
      <c r="E2" s="34" t="s">
        <v>880</v>
      </c>
      <c r="F2" s="34" t="s">
        <v>881</v>
      </c>
      <c r="G2" s="34" t="s">
        <v>882</v>
      </c>
      <c r="H2" s="34" t="s">
        <v>60</v>
      </c>
    </row>
    <row r="3" customFormat="false" ht="15.75" hidden="false" customHeight="false" outlineLevel="0" collapsed="false">
      <c r="A3" s="34" t="s">
        <v>883</v>
      </c>
      <c r="B3" s="34" t="s">
        <v>877</v>
      </c>
      <c r="C3" s="34" t="s">
        <v>884</v>
      </c>
      <c r="D3" s="34" t="s">
        <v>885</v>
      </c>
      <c r="E3" s="34" t="s">
        <v>886</v>
      </c>
      <c r="F3" s="34" t="s">
        <v>887</v>
      </c>
      <c r="G3" s="34" t="s">
        <v>888</v>
      </c>
      <c r="H3" s="34" t="s">
        <v>60</v>
      </c>
    </row>
    <row r="4" customFormat="false" ht="15.75" hidden="false" customHeight="false" outlineLevel="0" collapsed="false">
      <c r="A4" s="34" t="s">
        <v>889</v>
      </c>
      <c r="B4" s="34" t="s">
        <v>877</v>
      </c>
      <c r="C4" s="34" t="s">
        <v>890</v>
      </c>
      <c r="D4" s="34" t="s">
        <v>891</v>
      </c>
      <c r="E4" s="34" t="s">
        <v>892</v>
      </c>
      <c r="F4" s="34" t="s">
        <v>893</v>
      </c>
      <c r="G4" s="34" t="s">
        <v>894</v>
      </c>
      <c r="H4" s="34" t="s">
        <v>60</v>
      </c>
    </row>
    <row r="5" customFormat="false" ht="15.75" hidden="false" customHeight="false" outlineLevel="0" collapsed="false">
      <c r="A5" s="34" t="s">
        <v>895</v>
      </c>
      <c r="B5" s="34" t="s">
        <v>877</v>
      </c>
      <c r="C5" s="34" t="s">
        <v>896</v>
      </c>
      <c r="D5" s="34" t="s">
        <v>897</v>
      </c>
      <c r="E5" s="34" t="s">
        <v>898</v>
      </c>
      <c r="F5" s="34" t="s">
        <v>899</v>
      </c>
      <c r="G5" s="34" t="s">
        <v>900</v>
      </c>
      <c r="H5" s="34" t="s">
        <v>60</v>
      </c>
    </row>
    <row r="6" customFormat="false" ht="15.75" hidden="false" customHeight="false" outlineLevel="0" collapsed="false">
      <c r="A6" s="34" t="s">
        <v>901</v>
      </c>
      <c r="B6" s="34" t="s">
        <v>877</v>
      </c>
      <c r="C6" s="34" t="s">
        <v>902</v>
      </c>
      <c r="D6" s="34" t="s">
        <v>903</v>
      </c>
      <c r="E6" s="34" t="s">
        <v>904</v>
      </c>
      <c r="F6" s="34" t="s">
        <v>905</v>
      </c>
      <c r="G6" s="34" t="s">
        <v>906</v>
      </c>
      <c r="H6" s="34" t="s">
        <v>60</v>
      </c>
    </row>
    <row r="7" customFormat="false" ht="15.75" hidden="false" customHeight="false" outlineLevel="0" collapsed="false">
      <c r="A7" s="34" t="s">
        <v>907</v>
      </c>
      <c r="B7" s="34" t="s">
        <v>877</v>
      </c>
      <c r="C7" s="34" t="s">
        <v>908</v>
      </c>
      <c r="D7" s="34" t="s">
        <v>909</v>
      </c>
      <c r="E7" s="34" t="s">
        <v>910</v>
      </c>
      <c r="F7" s="34" t="s">
        <v>911</v>
      </c>
      <c r="G7" s="34" t="s">
        <v>912</v>
      </c>
      <c r="H7" s="34" t="s">
        <v>60</v>
      </c>
    </row>
    <row r="8" customFormat="false" ht="15.75" hidden="false" customHeight="false" outlineLevel="0" collapsed="false">
      <c r="A8" s="34" t="s">
        <v>913</v>
      </c>
      <c r="B8" s="34" t="s">
        <v>877</v>
      </c>
      <c r="C8" s="34" t="s">
        <v>914</v>
      </c>
      <c r="D8" s="34" t="s">
        <v>915</v>
      </c>
      <c r="E8" s="34" t="s">
        <v>916</v>
      </c>
      <c r="F8" s="34" t="s">
        <v>917</v>
      </c>
      <c r="G8" s="34" t="s">
        <v>918</v>
      </c>
      <c r="H8" s="34" t="s">
        <v>60</v>
      </c>
    </row>
    <row r="9" customFormat="false" ht="15.75" hidden="false" customHeight="false" outlineLevel="0" collapsed="false">
      <c r="A9" s="34" t="s">
        <v>919</v>
      </c>
      <c r="B9" s="34" t="s">
        <v>877</v>
      </c>
      <c r="C9" s="34" t="s">
        <v>920</v>
      </c>
      <c r="D9" s="34" t="s">
        <v>447</v>
      </c>
      <c r="E9" s="34" t="s">
        <v>921</v>
      </c>
      <c r="F9" s="34" t="s">
        <v>922</v>
      </c>
      <c r="G9" s="34" t="s">
        <v>923</v>
      </c>
      <c r="H9" s="34" t="s">
        <v>60</v>
      </c>
    </row>
    <row r="10" customFormat="false" ht="15.75" hidden="false" customHeight="false" outlineLevel="0" collapsed="false">
      <c r="A10" s="34" t="s">
        <v>924</v>
      </c>
      <c r="B10" s="34" t="s">
        <v>877</v>
      </c>
      <c r="C10" s="34" t="s">
        <v>925</v>
      </c>
      <c r="D10" s="34" t="s">
        <v>926</v>
      </c>
      <c r="E10" s="34" t="s">
        <v>927</v>
      </c>
      <c r="F10" s="34" t="s">
        <v>928</v>
      </c>
      <c r="G10" s="34" t="s">
        <v>929</v>
      </c>
      <c r="H10" s="34" t="s">
        <v>60</v>
      </c>
    </row>
    <row r="11" customFormat="false" ht="15.75" hidden="false" customHeight="false" outlineLevel="0" collapsed="false">
      <c r="A11" s="34" t="s">
        <v>930</v>
      </c>
      <c r="B11" s="34" t="s">
        <v>877</v>
      </c>
      <c r="C11" s="34" t="s">
        <v>931</v>
      </c>
      <c r="D11" s="34" t="s">
        <v>932</v>
      </c>
      <c r="E11" s="34" t="s">
        <v>933</v>
      </c>
      <c r="F11" s="34" t="s">
        <v>934</v>
      </c>
      <c r="G11" s="34" t="s">
        <v>935</v>
      </c>
      <c r="H11" s="34" t="s">
        <v>60</v>
      </c>
    </row>
    <row r="12" customFormat="false" ht="15.75" hidden="false" customHeight="false" outlineLevel="0" collapsed="false">
      <c r="A12" s="34" t="s">
        <v>936</v>
      </c>
      <c r="B12" s="34" t="s">
        <v>877</v>
      </c>
      <c r="C12" s="34" t="s">
        <v>937</v>
      </c>
      <c r="D12" s="34" t="s">
        <v>486</v>
      </c>
      <c r="E12" s="34" t="s">
        <v>938</v>
      </c>
      <c r="F12" s="34" t="s">
        <v>939</v>
      </c>
      <c r="G12" s="34" t="s">
        <v>940</v>
      </c>
      <c r="H12" s="34" t="s">
        <v>60</v>
      </c>
    </row>
    <row r="13" customFormat="false" ht="15.75" hidden="false" customHeight="false" outlineLevel="0" collapsed="false">
      <c r="A13" s="34" t="s">
        <v>941</v>
      </c>
      <c r="B13" s="34" t="s">
        <v>877</v>
      </c>
      <c r="C13" s="34" t="s">
        <v>942</v>
      </c>
      <c r="D13" s="34" t="s">
        <v>943</v>
      </c>
      <c r="E13" s="34" t="s">
        <v>944</v>
      </c>
      <c r="F13" s="34" t="s">
        <v>945</v>
      </c>
      <c r="G13" s="34" t="s">
        <v>946</v>
      </c>
      <c r="H13" s="34" t="s">
        <v>60</v>
      </c>
    </row>
    <row r="14" customFormat="false" ht="15.75" hidden="false" customHeight="false" outlineLevel="0" collapsed="false">
      <c r="A14" s="34" t="s">
        <v>947</v>
      </c>
      <c r="B14" s="34" t="s">
        <v>877</v>
      </c>
      <c r="C14" s="34" t="s">
        <v>948</v>
      </c>
      <c r="D14" s="34" t="s">
        <v>949</v>
      </c>
      <c r="E14" s="34" t="s">
        <v>950</v>
      </c>
      <c r="F14" s="34" t="s">
        <v>951</v>
      </c>
      <c r="G14" s="34" t="s">
        <v>952</v>
      </c>
      <c r="H14" s="34" t="s">
        <v>60</v>
      </c>
    </row>
    <row r="15" customFormat="false" ht="15.75" hidden="false" customHeight="false" outlineLevel="0" collapsed="false">
      <c r="A15" s="34" t="s">
        <v>953</v>
      </c>
      <c r="B15" s="34" t="s">
        <v>877</v>
      </c>
      <c r="C15" s="34" t="s">
        <v>954</v>
      </c>
      <c r="D15" s="34" t="s">
        <v>955</v>
      </c>
      <c r="E15" s="34" t="s">
        <v>956</v>
      </c>
      <c r="F15" s="34" t="s">
        <v>957</v>
      </c>
      <c r="G15" s="34" t="s">
        <v>958</v>
      </c>
      <c r="H15" s="34" t="s">
        <v>60</v>
      </c>
    </row>
    <row r="16" customFormat="false" ht="15.75" hidden="false" customHeight="false" outlineLevel="0" collapsed="false">
      <c r="A16" s="34" t="s">
        <v>959</v>
      </c>
      <c r="B16" s="34" t="s">
        <v>877</v>
      </c>
      <c r="C16" s="34" t="s">
        <v>960</v>
      </c>
      <c r="D16" s="34" t="s">
        <v>961</v>
      </c>
      <c r="E16" s="34" t="s">
        <v>962</v>
      </c>
      <c r="F16" s="34" t="s">
        <v>963</v>
      </c>
      <c r="G16" s="34" t="s">
        <v>964</v>
      </c>
      <c r="H16" s="34" t="s">
        <v>60</v>
      </c>
    </row>
    <row r="17" customFormat="false" ht="15.75" hidden="false" customHeight="false" outlineLevel="0" collapsed="false">
      <c r="A17" s="34" t="s">
        <v>965</v>
      </c>
      <c r="B17" s="34" t="s">
        <v>877</v>
      </c>
      <c r="C17" s="34" t="s">
        <v>966</v>
      </c>
      <c r="D17" s="34" t="s">
        <v>967</v>
      </c>
      <c r="E17" s="34" t="s">
        <v>968</v>
      </c>
      <c r="F17" s="34" t="s">
        <v>969</v>
      </c>
      <c r="G17" s="34" t="s">
        <v>970</v>
      </c>
      <c r="H17" s="34" t="s">
        <v>60</v>
      </c>
    </row>
    <row r="18" customFormat="false" ht="15.75" hidden="false" customHeight="false" outlineLevel="0" collapsed="false">
      <c r="A18" s="34" t="s">
        <v>971</v>
      </c>
      <c r="B18" s="34" t="s">
        <v>877</v>
      </c>
      <c r="C18" s="34" t="s">
        <v>972</v>
      </c>
      <c r="D18" s="34" t="s">
        <v>973</v>
      </c>
      <c r="E18" s="34" t="s">
        <v>974</v>
      </c>
      <c r="F18" s="34" t="s">
        <v>975</v>
      </c>
      <c r="G18" s="34" t="s">
        <v>976</v>
      </c>
      <c r="H18" s="34" t="s">
        <v>60</v>
      </c>
    </row>
    <row r="19" customFormat="false" ht="15.75" hidden="false" customHeight="false" outlineLevel="0" collapsed="false">
      <c r="A19" s="34" t="s">
        <v>977</v>
      </c>
      <c r="B19" s="34" t="s">
        <v>877</v>
      </c>
      <c r="C19" s="34" t="s">
        <v>978</v>
      </c>
      <c r="D19" s="34" t="s">
        <v>979</v>
      </c>
      <c r="E19" s="34" t="s">
        <v>980</v>
      </c>
      <c r="F19" s="34" t="s">
        <v>981</v>
      </c>
      <c r="G19" s="34" t="s">
        <v>982</v>
      </c>
      <c r="H19" s="34" t="s">
        <v>60</v>
      </c>
    </row>
    <row r="20" customFormat="false" ht="15.75" hidden="false" customHeight="false" outlineLevel="0" collapsed="false">
      <c r="A20" s="34" t="s">
        <v>983</v>
      </c>
      <c r="B20" s="34" t="s">
        <v>877</v>
      </c>
      <c r="C20" s="34" t="s">
        <v>984</v>
      </c>
      <c r="D20" s="34" t="s">
        <v>985</v>
      </c>
      <c r="E20" s="34" t="s">
        <v>986</v>
      </c>
      <c r="F20" s="34" t="s">
        <v>987</v>
      </c>
      <c r="G20" s="34" t="s">
        <v>988</v>
      </c>
      <c r="H20" s="34" t="s">
        <v>60</v>
      </c>
    </row>
    <row r="21" customFormat="false" ht="15.75" hidden="false" customHeight="false" outlineLevel="0" collapsed="false">
      <c r="A21" s="34" t="s">
        <v>989</v>
      </c>
      <c r="B21" s="34" t="s">
        <v>877</v>
      </c>
      <c r="C21" s="34" t="s">
        <v>990</v>
      </c>
      <c r="D21" s="34" t="s">
        <v>991</v>
      </c>
      <c r="E21" s="34" t="s">
        <v>992</v>
      </c>
      <c r="F21" s="34" t="s">
        <v>993</v>
      </c>
      <c r="G21" s="34" t="s">
        <v>994</v>
      </c>
      <c r="H21" s="34" t="s">
        <v>60</v>
      </c>
    </row>
    <row r="22" customFormat="false" ht="15.75" hidden="false" customHeight="false" outlineLevel="0" collapsed="false">
      <c r="A22" s="34" t="s">
        <v>995</v>
      </c>
      <c r="B22" s="34" t="s">
        <v>877</v>
      </c>
      <c r="C22" s="34" t="s">
        <v>996</v>
      </c>
      <c r="D22" s="34" t="s">
        <v>997</v>
      </c>
      <c r="E22" s="34" t="s">
        <v>998</v>
      </c>
      <c r="F22" s="34" t="s">
        <v>999</v>
      </c>
      <c r="G22" s="34" t="s">
        <v>1000</v>
      </c>
      <c r="H22" s="34" t="s">
        <v>60</v>
      </c>
    </row>
    <row r="23" customFormat="false" ht="15.75" hidden="false" customHeight="false" outlineLevel="0" collapsed="false">
      <c r="A23" s="34" t="s">
        <v>1001</v>
      </c>
      <c r="B23" s="34" t="s">
        <v>877</v>
      </c>
      <c r="C23" s="34" t="s">
        <v>1002</v>
      </c>
      <c r="D23" s="34" t="s">
        <v>1003</v>
      </c>
      <c r="E23" s="34" t="s">
        <v>1004</v>
      </c>
      <c r="F23" s="34" t="s">
        <v>1005</v>
      </c>
      <c r="G23" s="34" t="s">
        <v>1006</v>
      </c>
      <c r="H23" s="34" t="s">
        <v>60</v>
      </c>
    </row>
    <row r="24" customFormat="false" ht="15.75" hidden="false" customHeight="false" outlineLevel="0" collapsed="false">
      <c r="A24" s="34" t="s">
        <v>1007</v>
      </c>
      <c r="B24" s="34" t="s">
        <v>877</v>
      </c>
      <c r="C24" s="34" t="s">
        <v>1008</v>
      </c>
      <c r="D24" s="34" t="s">
        <v>1009</v>
      </c>
      <c r="E24" s="34" t="s">
        <v>1010</v>
      </c>
      <c r="F24" s="34" t="s">
        <v>1011</v>
      </c>
      <c r="G24" s="34" t="s">
        <v>1012</v>
      </c>
      <c r="H24" s="34" t="s">
        <v>60</v>
      </c>
    </row>
    <row r="25" customFormat="false" ht="15.75" hidden="false" customHeight="false" outlineLevel="0" collapsed="false">
      <c r="A25" s="34" t="s">
        <v>1013</v>
      </c>
      <c r="B25" s="34" t="s">
        <v>877</v>
      </c>
      <c r="C25" s="34" t="s">
        <v>1014</v>
      </c>
      <c r="D25" s="34" t="s">
        <v>1015</v>
      </c>
      <c r="E25" s="34" t="s">
        <v>1016</v>
      </c>
      <c r="F25" s="34" t="s">
        <v>1017</v>
      </c>
      <c r="G25" s="34" t="s">
        <v>1018</v>
      </c>
      <c r="H25" s="34" t="s">
        <v>60</v>
      </c>
    </row>
    <row r="26" customFormat="false" ht="15.75" hidden="false" customHeight="false" outlineLevel="0" collapsed="false">
      <c r="A26" s="34" t="s">
        <v>1019</v>
      </c>
      <c r="B26" s="34" t="s">
        <v>877</v>
      </c>
      <c r="C26" s="34" t="s">
        <v>1020</v>
      </c>
      <c r="D26" s="34" t="s">
        <v>1021</v>
      </c>
      <c r="E26" s="34" t="s">
        <v>1022</v>
      </c>
      <c r="F26" s="34" t="s">
        <v>1023</v>
      </c>
      <c r="G26" s="34" t="s">
        <v>1024</v>
      </c>
      <c r="H26" s="34" t="s">
        <v>60</v>
      </c>
    </row>
    <row r="27" customFormat="false" ht="15.75" hidden="false" customHeight="false" outlineLevel="0" collapsed="false">
      <c r="A27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416</v>
      </c>
    </row>
    <row r="2" customFormat="false" ht="15.75" hidden="false" customHeight="false" outlineLevel="0" collapsed="false">
      <c r="A2" s="36" t="n">
        <v>974</v>
      </c>
    </row>
    <row r="3" customFormat="false" ht="15.75" hidden="false" customHeight="false" outlineLevel="0" collapsed="false">
      <c r="A3" s="15" t="s">
        <v>1025</v>
      </c>
    </row>
    <row r="4" customFormat="false" ht="15.75" hidden="false" customHeight="false" outlineLevel="0" collapsed="false">
      <c r="A4" s="36" t="n">
        <v>1948</v>
      </c>
    </row>
    <row r="5" customFormat="false" ht="15.75" hidden="false" customHeight="false" outlineLevel="0" collapsed="false">
      <c r="A5" s="15" t="s">
        <v>1026</v>
      </c>
    </row>
    <row r="6" customFormat="false" ht="15.75" hidden="false" customHeight="false" outlineLevel="0" collapsed="false">
      <c r="A6" s="36" t="n">
        <v>2922</v>
      </c>
    </row>
    <row r="7" customFormat="false" ht="15.75" hidden="false" customHeight="false" outlineLevel="0" collapsed="false">
      <c r="A7" s="15" t="s">
        <v>1027</v>
      </c>
    </row>
    <row r="8" customFormat="false" ht="15.75" hidden="false" customHeight="false" outlineLevel="0" collapsed="false">
      <c r="A8" s="36" t="n">
        <v>3895</v>
      </c>
    </row>
    <row r="9" customFormat="false" ht="15.75" hidden="false" customHeight="false" outlineLevel="0" collapsed="false">
      <c r="A9" s="15" t="s">
        <v>1028</v>
      </c>
    </row>
    <row r="10" customFormat="false" ht="15.75" hidden="false" customHeight="false" outlineLevel="0" collapsed="false">
      <c r="A10" s="36" t="n">
        <v>4869</v>
      </c>
    </row>
    <row r="11" customFormat="false" ht="15.75" hidden="false" customHeight="false" outlineLevel="0" collapsed="false">
      <c r="A11" s="15" t="s">
        <v>1029</v>
      </c>
    </row>
    <row r="12" customFormat="false" ht="15.75" hidden="false" customHeight="false" outlineLevel="0" collapsed="false">
      <c r="A12" s="36" t="n">
        <v>5843</v>
      </c>
    </row>
    <row r="13" customFormat="false" ht="15.75" hidden="false" customHeight="false" outlineLevel="0" collapsed="false">
      <c r="A13" s="15" t="s">
        <v>1030</v>
      </c>
    </row>
    <row r="14" customFormat="false" ht="15.75" hidden="false" customHeight="false" outlineLevel="0" collapsed="false">
      <c r="A14" s="36" t="n">
        <v>7787</v>
      </c>
    </row>
    <row r="15" customFormat="false" ht="15.75" hidden="false" customHeight="false" outlineLevel="0" collapsed="false">
      <c r="A15" s="15" t="s">
        <v>1031</v>
      </c>
    </row>
    <row r="16" customFormat="false" ht="15.75" hidden="false" customHeight="false" outlineLevel="0" collapsed="false">
      <c r="A16" s="36" t="n">
        <v>8761</v>
      </c>
    </row>
    <row r="17" customFormat="false" ht="15.75" hidden="false" customHeight="false" outlineLevel="0" collapsed="false">
      <c r="A17" s="15" t="s">
        <v>1032</v>
      </c>
    </row>
    <row r="18" customFormat="false" ht="15.75" hidden="false" customHeight="false" outlineLevel="0" collapsed="false">
      <c r="A18" s="36" t="n">
        <v>9733</v>
      </c>
    </row>
    <row r="19" customFormat="false" ht="15.75" hidden="false" customHeight="false" outlineLevel="0" collapsed="false">
      <c r="A19" s="15" t="s">
        <v>1033</v>
      </c>
    </row>
    <row r="20" customFormat="false" ht="15.75" hidden="false" customHeight="false" outlineLevel="0" collapsed="false">
      <c r="A20" s="36" t="n">
        <v>10707</v>
      </c>
    </row>
    <row r="21" customFormat="false" ht="15.75" hidden="false" customHeight="false" outlineLevel="0" collapsed="false">
      <c r="A21" s="15" t="s">
        <v>1034</v>
      </c>
    </row>
    <row r="22" customFormat="false" ht="15.75" hidden="false" customHeight="false" outlineLevel="0" collapsed="false">
      <c r="A22" s="36" t="n">
        <v>11681</v>
      </c>
    </row>
    <row r="23" customFormat="false" ht="15.75" hidden="false" customHeight="false" outlineLevel="0" collapsed="false">
      <c r="A23" s="15" t="s">
        <v>1035</v>
      </c>
    </row>
    <row r="24" customFormat="false" ht="15.75" hidden="false" customHeight="false" outlineLevel="0" collapsed="false">
      <c r="A24" s="36" t="n">
        <v>13628</v>
      </c>
    </row>
    <row r="25" customFormat="false" ht="15.75" hidden="false" customHeight="false" outlineLevel="0" collapsed="false">
      <c r="A25" s="15" t="s">
        <v>1036</v>
      </c>
    </row>
    <row r="26" customFormat="false" ht="15.75" hidden="false" customHeight="false" outlineLevel="0" collapsed="false">
      <c r="A26" s="36" t="n">
        <v>14602</v>
      </c>
    </row>
    <row r="27" customFormat="false" ht="15.75" hidden="false" customHeight="false" outlineLevel="0" collapsed="false">
      <c r="A27" s="15" t="s">
        <v>1037</v>
      </c>
    </row>
    <row r="28" customFormat="false" ht="15.75" hidden="false" customHeight="false" outlineLevel="0" collapsed="false">
      <c r="A28" s="36" t="n">
        <v>15575</v>
      </c>
    </row>
    <row r="29" customFormat="false" ht="15.75" hidden="false" customHeight="false" outlineLevel="0" collapsed="false">
      <c r="A29" s="15" t="s">
        <v>1038</v>
      </c>
    </row>
    <row r="30" customFormat="false" ht="15.75" hidden="false" customHeight="false" outlineLevel="0" collapsed="false">
      <c r="A30" s="36" t="n">
        <v>17520</v>
      </c>
    </row>
    <row r="31" customFormat="false" ht="15.75" hidden="false" customHeight="false" outlineLevel="0" collapsed="false">
      <c r="A31" s="15" t="s">
        <v>1039</v>
      </c>
    </row>
    <row r="32" customFormat="false" ht="15.75" hidden="false" customHeight="false" outlineLevel="0" collapsed="false">
      <c r="A32" s="36" t="n">
        <v>18493</v>
      </c>
    </row>
    <row r="33" customFormat="false" ht="15.75" hidden="false" customHeight="false" outlineLevel="0" collapsed="false">
      <c r="A33" s="15" t="s">
        <v>1040</v>
      </c>
    </row>
    <row r="34" customFormat="false" ht="15.75" hidden="false" customHeight="false" outlineLevel="0" collapsed="false">
      <c r="A34" s="36" t="n">
        <v>19465</v>
      </c>
    </row>
    <row r="35" customFormat="false" ht="15.75" hidden="false" customHeight="false" outlineLevel="0" collapsed="false">
      <c r="A35" s="15" t="s">
        <v>1041</v>
      </c>
    </row>
    <row r="36" customFormat="false" ht="15.75" hidden="false" customHeight="false" outlineLevel="0" collapsed="false">
      <c r="A36" s="36" t="n">
        <v>20439</v>
      </c>
    </row>
    <row r="37" customFormat="false" ht="15.75" hidden="false" customHeight="false" outlineLevel="0" collapsed="false">
      <c r="A37" s="15" t="s">
        <v>1042</v>
      </c>
    </row>
    <row r="38" customFormat="false" ht="15.75" hidden="false" customHeight="false" outlineLevel="0" collapsed="false">
      <c r="A38" s="36" t="n">
        <v>21412</v>
      </c>
    </row>
    <row r="39" customFormat="false" ht="15.75" hidden="false" customHeight="false" outlineLevel="0" collapsed="false">
      <c r="A39" s="15" t="s">
        <v>1043</v>
      </c>
    </row>
    <row r="40" customFormat="false" ht="15.75" hidden="false" customHeight="false" outlineLevel="0" collapsed="false">
      <c r="A40" s="36" t="n">
        <v>23360</v>
      </c>
    </row>
    <row r="41" customFormat="false" ht="15.75" hidden="false" customHeight="false" outlineLevel="0" collapsed="false">
      <c r="A41" s="15" t="s">
        <v>1044</v>
      </c>
    </row>
    <row r="42" customFormat="false" ht="15.75" hidden="false" customHeight="false" outlineLevel="0" collapsed="false">
      <c r="A42" s="36" t="n">
        <v>25307</v>
      </c>
    </row>
    <row r="43" customFormat="false" ht="15.75" hidden="false" customHeight="false" outlineLevel="0" collapsed="false">
      <c r="A43" s="15" t="s">
        <v>1045</v>
      </c>
    </row>
    <row r="44" customFormat="false" ht="15.75" hidden="false" customHeight="false" outlineLevel="0" collapsed="false">
      <c r="A44" s="36" t="n">
        <v>27252</v>
      </c>
    </row>
    <row r="45" customFormat="false" ht="15.75" hidden="false" customHeight="false" outlineLevel="0" collapsed="false">
      <c r="A45" s="15" t="s">
        <v>1046</v>
      </c>
    </row>
    <row r="46" customFormat="false" ht="15.75" hidden="false" customHeight="false" outlineLevel="0" collapsed="false">
      <c r="A46" s="36" t="n">
        <v>29198</v>
      </c>
    </row>
    <row r="47" customFormat="false" ht="15.75" hidden="false" customHeight="false" outlineLevel="0" collapsed="false">
      <c r="A47" s="15" t="s">
        <v>1047</v>
      </c>
    </row>
    <row r="48" customFormat="false" ht="15.75" hidden="false" customHeight="false" outlineLevel="0" collapsed="false">
      <c r="A48" s="36" t="n">
        <v>33092</v>
      </c>
    </row>
    <row r="49" customFormat="false" ht="15.75" hidden="false" customHeight="false" outlineLevel="0" collapsed="false">
      <c r="A49" s="15" t="s">
        <v>1048</v>
      </c>
    </row>
    <row r="50" customFormat="false" ht="15.75" hidden="false" customHeight="false" outlineLevel="0" collapsed="false">
      <c r="A50" s="36" t="n">
        <v>36984</v>
      </c>
    </row>
    <row r="51" customFormat="false" ht="15.75" hidden="false" customHeight="false" outlineLevel="0" collapsed="false">
      <c r="A51" s="15" t="s">
        <v>1049</v>
      </c>
    </row>
    <row r="52" customFormat="false" ht="15.75" hidden="false" customHeight="false" outlineLevel="0" collapsed="false">
      <c r="A52" s="36" t="n">
        <v>38929</v>
      </c>
    </row>
    <row r="53" customFormat="false" ht="15.75" hidden="false" customHeight="false" outlineLevel="0" collapsed="false">
      <c r="A53" s="15" t="s">
        <v>1050</v>
      </c>
    </row>
    <row r="54" customFormat="false" ht="15.75" hidden="false" customHeight="false" outlineLevel="0" collapsed="false">
      <c r="A54" s="36" t="n">
        <v>42824</v>
      </c>
    </row>
    <row r="55" customFormat="false" ht="15.75" hidden="false" customHeight="false" outlineLevel="0" collapsed="false">
      <c r="A55" s="15" t="s">
        <v>1051</v>
      </c>
    </row>
    <row r="56" customFormat="false" ht="15.75" hidden="false" customHeight="false" outlineLevel="0" collapsed="false">
      <c r="A56" s="36" t="n">
        <v>48661</v>
      </c>
    </row>
    <row r="57" customFormat="false" ht="15.75" hidden="false" customHeight="false" outlineLevel="0" collapsed="false">
      <c r="A57" s="15" t="s">
        <v>1052</v>
      </c>
    </row>
    <row r="58" customFormat="false" ht="15.75" hidden="false" customHeight="false" outlineLevel="0" collapsed="false">
      <c r="A58" s="36" t="n">
        <v>49635</v>
      </c>
    </row>
    <row r="59" customFormat="false" ht="15.75" hidden="false" customHeight="false" outlineLevel="0" collapsed="false">
      <c r="A59" s="15" t="s">
        <v>1053</v>
      </c>
    </row>
    <row r="60" customFormat="false" ht="15.75" hidden="false" customHeight="false" outlineLevel="0" collapsed="false">
      <c r="A60" s="36" t="n">
        <v>52556</v>
      </c>
    </row>
    <row r="61" customFormat="false" ht="15.75" hidden="false" customHeight="false" outlineLevel="0" collapsed="false">
      <c r="A61" s="15" t="s">
        <v>1054</v>
      </c>
    </row>
    <row r="62" customFormat="false" ht="15.75" hidden="false" customHeight="false" outlineLevel="0" collapsed="false">
      <c r="A62" s="36" t="n">
        <v>56447</v>
      </c>
    </row>
    <row r="63" customFormat="false" ht="15.75" hidden="false" customHeight="false" outlineLevel="0" collapsed="false">
      <c r="A63" s="15" t="s">
        <v>1055</v>
      </c>
    </row>
    <row r="64" customFormat="false" ht="15.75" hidden="false" customHeight="false" outlineLevel="0" collapsed="false">
      <c r="A64" s="36" t="n">
        <v>58394</v>
      </c>
    </row>
    <row r="65" customFormat="false" ht="15.75" hidden="false" customHeight="false" outlineLevel="0" collapsed="false">
      <c r="A65" s="15" t="s">
        <v>1056</v>
      </c>
    </row>
    <row r="66" customFormat="false" ht="15.75" hidden="false" customHeight="false" outlineLevel="0" collapsed="false">
      <c r="A66" s="36" t="n">
        <v>64236</v>
      </c>
    </row>
    <row r="67" customFormat="false" ht="15.75" hidden="false" customHeight="false" outlineLevel="0" collapsed="false">
      <c r="A67" s="15" t="s">
        <v>1057</v>
      </c>
    </row>
    <row r="68" customFormat="false" ht="15.75" hidden="false" customHeight="false" outlineLevel="0" collapsed="false">
      <c r="A68" s="36" t="n">
        <v>66180</v>
      </c>
    </row>
    <row r="69" customFormat="false" ht="15.75" hidden="false" customHeight="false" outlineLevel="0" collapsed="false">
      <c r="A69" s="15" t="s">
        <v>1058</v>
      </c>
    </row>
    <row r="70" customFormat="false" ht="15.75" hidden="false" customHeight="false" outlineLevel="0" collapsed="false">
      <c r="A70" s="36" t="n">
        <v>68125</v>
      </c>
    </row>
    <row r="71" customFormat="false" ht="15.75" hidden="false" customHeight="false" outlineLevel="0" collapsed="false">
      <c r="A71" s="15" t="s">
        <v>1059</v>
      </c>
    </row>
    <row r="72" customFormat="false" ht="15.75" hidden="false" customHeight="false" outlineLevel="0" collapsed="false">
      <c r="A72" s="36" t="n">
        <v>69099</v>
      </c>
    </row>
    <row r="73" customFormat="false" ht="15.75" hidden="false" customHeight="false" outlineLevel="0" collapsed="false">
      <c r="A73" s="15" t="s">
        <v>1060</v>
      </c>
    </row>
    <row r="74" customFormat="false" ht="15.75" hidden="false" customHeight="false" outlineLevel="0" collapsed="false">
      <c r="A74" s="36" t="n">
        <v>71046</v>
      </c>
    </row>
    <row r="75" customFormat="false" ht="15.75" hidden="false" customHeight="false" outlineLevel="0" collapsed="false">
      <c r="A75" s="15" t="s">
        <v>1061</v>
      </c>
    </row>
    <row r="76" customFormat="false" ht="15.75" hidden="false" customHeight="false" outlineLevel="0" collapsed="false">
      <c r="A76" s="36" t="n">
        <v>72020</v>
      </c>
    </row>
    <row r="77" customFormat="false" ht="15.75" hidden="false" customHeight="false" outlineLevel="0" collapsed="false">
      <c r="A77" s="15" t="s">
        <v>1062</v>
      </c>
    </row>
    <row r="78" customFormat="false" ht="15.75" hidden="false" customHeight="false" outlineLevel="0" collapsed="false">
      <c r="A78" s="36" t="n">
        <v>72994</v>
      </c>
    </row>
    <row r="79" customFormat="false" ht="15.75" hidden="false" customHeight="false" outlineLevel="0" collapsed="false">
      <c r="A79" s="15" t="s">
        <v>1063</v>
      </c>
    </row>
    <row r="80" customFormat="false" ht="15.75" hidden="false" customHeight="false" outlineLevel="0" collapsed="false">
      <c r="A80" s="36" t="n">
        <v>75912</v>
      </c>
    </row>
    <row r="81" customFormat="false" ht="15.75" hidden="false" customHeight="false" outlineLevel="0" collapsed="false">
      <c r="A81" s="15" t="s">
        <v>1064</v>
      </c>
    </row>
    <row r="82" customFormat="false" ht="15.75" hidden="false" customHeight="false" outlineLevel="0" collapsed="false">
      <c r="A82" s="36" t="n">
        <v>77858</v>
      </c>
    </row>
    <row r="83" customFormat="false" ht="15.75" hidden="false" customHeight="false" outlineLevel="0" collapsed="false">
      <c r="A83" s="15" t="s">
        <v>1065</v>
      </c>
    </row>
    <row r="84" customFormat="false" ht="15.75" hidden="false" customHeight="false" outlineLevel="0" collapsed="false">
      <c r="A84" s="36" t="n">
        <v>84674</v>
      </c>
    </row>
    <row r="85" customFormat="false" ht="15.75" hidden="false" customHeight="false" outlineLevel="0" collapsed="false">
      <c r="A85" s="15" t="s">
        <v>1066</v>
      </c>
    </row>
    <row r="86" customFormat="false" ht="15.75" hidden="false" customHeight="false" outlineLevel="0" collapsed="false">
      <c r="A86" s="36" t="n">
        <v>87590</v>
      </c>
    </row>
    <row r="87" customFormat="false" ht="15.75" hidden="false" customHeight="false" outlineLevel="0" collapsed="false">
      <c r="A87" s="15" t="s">
        <v>1067</v>
      </c>
    </row>
    <row r="88" customFormat="false" ht="15.75" hidden="false" customHeight="false" outlineLevel="0" collapsed="false">
      <c r="A88" s="36" t="n">
        <v>89537</v>
      </c>
    </row>
    <row r="89" customFormat="false" ht="15.75" hidden="false" customHeight="false" outlineLevel="0" collapsed="false">
      <c r="A89" s="15" t="s">
        <v>1068</v>
      </c>
    </row>
    <row r="90" customFormat="false" ht="15.75" hidden="false" customHeight="false" outlineLevel="0" collapsed="false">
      <c r="A90" s="36" t="n">
        <v>91484</v>
      </c>
    </row>
    <row r="91" customFormat="false" ht="15.75" hidden="false" customHeight="false" outlineLevel="0" collapsed="false">
      <c r="A91" s="15" t="s">
        <v>1069</v>
      </c>
    </row>
    <row r="92" customFormat="false" ht="15.75" hidden="false" customHeight="false" outlineLevel="0" collapsed="false">
      <c r="A92" s="36" t="n">
        <v>97320</v>
      </c>
    </row>
    <row r="93" customFormat="false" ht="15.75" hidden="false" customHeight="false" outlineLevel="0" collapsed="false">
      <c r="A93" s="15" t="s">
        <v>1070</v>
      </c>
    </row>
    <row r="94" customFormat="false" ht="15.75" hidden="false" customHeight="false" outlineLevel="0" collapsed="false">
      <c r="A94" s="36" t="n">
        <v>98294</v>
      </c>
    </row>
    <row r="95" customFormat="false" ht="15.75" hidden="false" customHeight="false" outlineLevel="0" collapsed="false">
      <c r="A95" s="15" t="s">
        <v>1071</v>
      </c>
    </row>
    <row r="96" customFormat="false" ht="15.75" hidden="false" customHeight="false" outlineLevel="0" collapsed="false">
      <c r="A96" s="36" t="n">
        <v>101215</v>
      </c>
    </row>
    <row r="97" customFormat="false" ht="15.75" hidden="false" customHeight="false" outlineLevel="0" collapsed="false">
      <c r="A97" s="15" t="s">
        <v>1072</v>
      </c>
    </row>
    <row r="98" customFormat="false" ht="15.75" hidden="false" customHeight="false" outlineLevel="0" collapsed="false">
      <c r="A98" s="36" t="n">
        <v>105107</v>
      </c>
    </row>
    <row r="99" customFormat="false" ht="15.75" hidden="false" customHeight="false" outlineLevel="0" collapsed="false">
      <c r="A99" s="15" t="s">
        <v>1073</v>
      </c>
    </row>
    <row r="100" customFormat="false" ht="15.75" hidden="false" customHeight="false" outlineLevel="0" collapsed="false">
      <c r="A100" s="36" t="n">
        <v>107053</v>
      </c>
    </row>
    <row r="101" customFormat="false" ht="15.75" hidden="false" customHeight="false" outlineLevel="0" collapsed="false">
      <c r="A101" s="15" t="s">
        <v>1074</v>
      </c>
    </row>
    <row r="102" customFormat="false" ht="15.75" hidden="false" customHeight="false" outlineLevel="0" collapsed="false">
      <c r="A102" s="36" t="n">
        <v>109000</v>
      </c>
    </row>
    <row r="103" customFormat="false" ht="15.75" hidden="false" customHeight="false" outlineLevel="0" collapsed="false">
      <c r="A103" s="15" t="s">
        <v>1075</v>
      </c>
    </row>
    <row r="104" customFormat="false" ht="15.75" hidden="false" customHeight="false" outlineLevel="0" collapsed="false">
      <c r="A104" s="36" t="n">
        <v>112895</v>
      </c>
    </row>
    <row r="105" customFormat="false" ht="15.75" hidden="false" customHeight="false" outlineLevel="0" collapsed="false">
      <c r="A105" s="15" t="s">
        <v>1076</v>
      </c>
    </row>
    <row r="106" customFormat="false" ht="15.75" hidden="false" customHeight="false" outlineLevel="0" collapsed="false">
      <c r="A106" s="36" t="n">
        <v>114839</v>
      </c>
    </row>
    <row r="107" customFormat="false" ht="15.75" hidden="false" customHeight="false" outlineLevel="0" collapsed="false">
      <c r="A107" s="15" t="s">
        <v>1077</v>
      </c>
    </row>
    <row r="108" customFormat="false" ht="15.75" hidden="false" customHeight="false" outlineLevel="0" collapsed="false">
      <c r="A108" s="36" t="n">
        <v>116785</v>
      </c>
    </row>
    <row r="109" customFormat="false" ht="15.75" hidden="false" customHeight="false" outlineLevel="0" collapsed="false">
      <c r="A109" s="15" t="s">
        <v>1078</v>
      </c>
    </row>
    <row r="110" customFormat="false" ht="15.75" hidden="false" customHeight="false" outlineLevel="0" collapsed="false">
      <c r="A110" s="36" t="n">
        <v>124571</v>
      </c>
    </row>
    <row r="111" customFormat="false" ht="15.75" hidden="false" customHeight="false" outlineLevel="0" collapsed="false">
      <c r="A111" s="15" t="s">
        <v>1079</v>
      </c>
    </row>
    <row r="112" customFormat="false" ht="15.75" hidden="false" customHeight="false" outlineLevel="0" collapsed="false">
      <c r="A112" s="36" t="n">
        <v>126517</v>
      </c>
    </row>
    <row r="113" customFormat="false" ht="15.75" hidden="false" customHeight="false" outlineLevel="0" collapsed="false">
      <c r="A113" s="15" t="s">
        <v>1080</v>
      </c>
    </row>
    <row r="114" customFormat="false" ht="15.75" hidden="false" customHeight="false" outlineLevel="0" collapsed="false">
      <c r="A114" s="36" t="n">
        <v>136249</v>
      </c>
    </row>
    <row r="115" customFormat="false" ht="15.75" hidden="false" customHeight="false" outlineLevel="0" collapsed="false">
      <c r="A115" s="15" t="s">
        <v>1081</v>
      </c>
    </row>
    <row r="116" customFormat="false" ht="15.75" hidden="false" customHeight="false" outlineLevel="0" collapsed="false">
      <c r="A116" s="36" t="n">
        <v>144035</v>
      </c>
    </row>
    <row r="117" customFormat="false" ht="15.75" hidden="false" customHeight="false" outlineLevel="0" collapsed="false">
      <c r="A117" s="15" t="s">
        <v>1082</v>
      </c>
    </row>
    <row r="118" customFormat="false" ht="15.75" hidden="false" customHeight="false" outlineLevel="0" collapsed="false">
      <c r="A118" s="36" t="n">
        <v>145981</v>
      </c>
    </row>
    <row r="119" customFormat="false" ht="15.75" hidden="false" customHeight="false" outlineLevel="0" collapsed="false">
      <c r="A119" s="15" t="s">
        <v>1083</v>
      </c>
    </row>
    <row r="120" customFormat="false" ht="15.75" hidden="false" customHeight="false" outlineLevel="0" collapsed="false">
      <c r="A120" s="36" t="n">
        <v>146954</v>
      </c>
    </row>
    <row r="121" customFormat="false" ht="15.75" hidden="false" customHeight="false" outlineLevel="0" collapsed="false">
      <c r="A121" s="15" t="s">
        <v>1084</v>
      </c>
    </row>
    <row r="122" customFormat="false" ht="15.75" hidden="false" customHeight="false" outlineLevel="0" collapsed="false">
      <c r="A122" s="36" t="n">
        <v>153767</v>
      </c>
    </row>
    <row r="123" customFormat="false" ht="15.75" hidden="false" customHeight="false" outlineLevel="0" collapsed="false">
      <c r="A123" s="15" t="s">
        <v>1085</v>
      </c>
    </row>
    <row r="124" customFormat="false" ht="15.75" hidden="false" customHeight="false" outlineLevel="0" collapsed="false">
      <c r="A124" s="36" t="n">
        <v>155713</v>
      </c>
    </row>
    <row r="125" customFormat="false" ht="15.75" hidden="false" customHeight="false" outlineLevel="0" collapsed="false">
      <c r="A125" s="15" t="s">
        <v>1086</v>
      </c>
    </row>
    <row r="126" customFormat="false" ht="15.75" hidden="false" customHeight="false" outlineLevel="0" collapsed="false">
      <c r="A126" s="36" t="n">
        <v>164473</v>
      </c>
    </row>
    <row r="127" customFormat="false" ht="15.75" hidden="false" customHeight="false" outlineLevel="0" collapsed="false">
      <c r="A127" s="15" t="s">
        <v>1087</v>
      </c>
    </row>
    <row r="128" customFormat="false" ht="15.75" hidden="false" customHeight="false" outlineLevel="0" collapsed="false">
      <c r="A128" s="36" t="n">
        <v>165445</v>
      </c>
    </row>
    <row r="129" customFormat="false" ht="15.75" hidden="false" customHeight="false" outlineLevel="0" collapsed="false">
      <c r="A129" s="15" t="s">
        <v>1088</v>
      </c>
    </row>
    <row r="130" customFormat="false" ht="15.75" hidden="false" customHeight="false" outlineLevel="0" collapsed="false">
      <c r="A130" s="36" t="n">
        <v>178099</v>
      </c>
    </row>
    <row r="131" customFormat="false" ht="15.75" hidden="false" customHeight="false" outlineLevel="0" collapsed="false">
      <c r="A131" s="15" t="s">
        <v>1089</v>
      </c>
    </row>
    <row r="132" customFormat="false" ht="15.75" hidden="false" customHeight="false" outlineLevel="0" collapsed="false">
      <c r="A132" s="36" t="n">
        <v>194639</v>
      </c>
    </row>
    <row r="133" customFormat="false" ht="15.75" hidden="false" customHeight="false" outlineLevel="0" collapsed="false">
      <c r="A133" s="15" t="s">
        <v>1090</v>
      </c>
    </row>
    <row r="134" customFormat="false" ht="15.75" hidden="false" customHeight="false" outlineLevel="0" collapsed="false">
      <c r="A134" s="36" t="n">
        <v>202428</v>
      </c>
    </row>
    <row r="135" customFormat="false" ht="15.75" hidden="false" customHeight="false" outlineLevel="0" collapsed="false">
      <c r="A135" s="15" t="s">
        <v>1091</v>
      </c>
    </row>
    <row r="136" customFormat="false" ht="15.75" hidden="false" customHeight="false" outlineLevel="0" collapsed="false">
      <c r="A136" s="36" t="n">
        <v>204373</v>
      </c>
    </row>
    <row r="137" customFormat="false" ht="15.75" hidden="false" customHeight="false" outlineLevel="0" collapsed="false">
      <c r="A137" s="15" t="s">
        <v>1092</v>
      </c>
    </row>
    <row r="138" customFormat="false" ht="15.75" hidden="false" customHeight="false" outlineLevel="0" collapsed="false">
      <c r="A138" s="36" t="n">
        <v>214105</v>
      </c>
    </row>
    <row r="139" customFormat="false" ht="15.75" hidden="false" customHeight="false" outlineLevel="0" collapsed="false">
      <c r="A139" s="15" t="s">
        <v>1093</v>
      </c>
    </row>
    <row r="140" customFormat="false" ht="15.75" hidden="false" customHeight="false" outlineLevel="0" collapsed="false">
      <c r="A140" s="36" t="n">
        <v>244275</v>
      </c>
    </row>
    <row r="141" customFormat="false" ht="15.75" hidden="false" customHeight="false" outlineLevel="0" collapsed="false">
      <c r="A141" s="15" t="s">
        <v>1094</v>
      </c>
    </row>
    <row r="142" customFormat="false" ht="15.75" hidden="false" customHeight="false" outlineLevel="0" collapsed="false">
      <c r="A142" s="36" t="n">
        <v>245249</v>
      </c>
    </row>
    <row r="143" customFormat="false" ht="15.75" hidden="false" customHeight="false" outlineLevel="0" collapsed="false">
      <c r="A143" s="15" t="s">
        <v>1095</v>
      </c>
    </row>
    <row r="144" customFormat="false" ht="15.75" hidden="false" customHeight="false" outlineLevel="0" collapsed="false">
      <c r="A144" s="36" t="n">
        <v>253032</v>
      </c>
    </row>
    <row r="145" customFormat="false" ht="15.75" hidden="false" customHeight="false" outlineLevel="0" collapsed="false">
      <c r="A145" s="15" t="s">
        <v>1096</v>
      </c>
    </row>
    <row r="146" customFormat="false" ht="15.75" hidden="false" customHeight="false" outlineLevel="0" collapsed="false">
      <c r="A146" s="36" t="n">
        <v>268606</v>
      </c>
    </row>
    <row r="147" customFormat="false" ht="15.75" hidden="false" customHeight="false" outlineLevel="0" collapsed="false">
      <c r="A147" s="15" t="s">
        <v>1097</v>
      </c>
    </row>
    <row r="148" customFormat="false" ht="15.75" hidden="false" customHeight="false" outlineLevel="0" collapsed="false">
      <c r="A148" s="36" t="n">
        <v>271524</v>
      </c>
    </row>
    <row r="149" customFormat="false" ht="15.75" hidden="false" customHeight="false" outlineLevel="0" collapsed="false">
      <c r="A149" s="15" t="s">
        <v>1098</v>
      </c>
    </row>
    <row r="150" customFormat="false" ht="15.75" hidden="false" customHeight="false" outlineLevel="0" collapsed="false">
      <c r="A150" s="36" t="n">
        <v>272497</v>
      </c>
    </row>
    <row r="151" customFormat="false" ht="15.75" hidden="false" customHeight="false" outlineLevel="0" collapsed="false">
      <c r="A151" s="15" t="s">
        <v>1099</v>
      </c>
    </row>
    <row r="152" customFormat="false" ht="15.75" hidden="false" customHeight="false" outlineLevel="0" collapsed="false">
      <c r="A152" s="36" t="n">
        <v>275418</v>
      </c>
    </row>
    <row r="153" customFormat="false" ht="15.75" hidden="false" customHeight="false" outlineLevel="0" collapsed="false">
      <c r="A153" s="15" t="s">
        <v>1100</v>
      </c>
    </row>
    <row r="154" customFormat="false" ht="15.75" hidden="false" customHeight="false" outlineLevel="0" collapsed="false">
      <c r="A154" s="36" t="n">
        <v>285149</v>
      </c>
    </row>
    <row r="155" customFormat="false" ht="15.75" hidden="false" customHeight="false" outlineLevel="0" collapsed="false">
      <c r="A155" s="15" t="s">
        <v>1101</v>
      </c>
    </row>
    <row r="156" customFormat="false" ht="15.75" hidden="false" customHeight="false" outlineLevel="0" collapsed="false">
      <c r="A156" s="36" t="n">
        <v>290988</v>
      </c>
    </row>
    <row r="157" customFormat="false" ht="15.75" hidden="false" customHeight="false" outlineLevel="0" collapsed="false">
      <c r="A157" s="15" t="s">
        <v>1102</v>
      </c>
    </row>
    <row r="158" customFormat="false" ht="15.75" hidden="false" customHeight="false" outlineLevel="0" collapsed="false">
      <c r="A158" s="36" t="n">
        <v>291959</v>
      </c>
    </row>
    <row r="159" customFormat="false" ht="15.75" hidden="false" customHeight="false" outlineLevel="0" collapsed="false">
      <c r="A159" s="15" t="s">
        <v>1103</v>
      </c>
    </row>
    <row r="160" customFormat="false" ht="15.75" hidden="false" customHeight="false" outlineLevel="0" collapsed="false">
      <c r="A160" s="36" t="n">
        <v>293906</v>
      </c>
    </row>
    <row r="161" customFormat="false" ht="15.75" hidden="false" customHeight="false" outlineLevel="0" collapsed="false">
      <c r="A161" s="15" t="s">
        <v>1104</v>
      </c>
    </row>
    <row r="162" customFormat="false" ht="15.75" hidden="false" customHeight="false" outlineLevel="0" collapsed="false">
      <c r="A162" s="36" t="n">
        <v>295853</v>
      </c>
    </row>
    <row r="163" customFormat="false" ht="15.75" hidden="false" customHeight="false" outlineLevel="0" collapsed="false">
      <c r="A163" s="15" t="s">
        <v>1105</v>
      </c>
    </row>
    <row r="164" customFormat="false" ht="15.75" hidden="false" customHeight="false" outlineLevel="0" collapsed="false">
      <c r="A164" s="36" t="n">
        <v>297801</v>
      </c>
    </row>
    <row r="165" customFormat="false" ht="15.75" hidden="false" customHeight="false" outlineLevel="0" collapsed="false">
      <c r="A165" s="15" t="s">
        <v>1106</v>
      </c>
    </row>
    <row r="166" customFormat="false" ht="15.75" hidden="false" customHeight="false" outlineLevel="0" collapsed="false">
      <c r="A166" s="36" t="n">
        <v>300722</v>
      </c>
    </row>
    <row r="167" customFormat="false" ht="15.75" hidden="false" customHeight="false" outlineLevel="0" collapsed="false">
      <c r="A167" s="15" t="s">
        <v>1107</v>
      </c>
    </row>
    <row r="168" customFormat="false" ht="15.75" hidden="false" customHeight="false" outlineLevel="0" collapsed="false">
      <c r="A168" s="36" t="n">
        <v>307533</v>
      </c>
    </row>
    <row r="169" customFormat="false" ht="15.75" hidden="false" customHeight="false" outlineLevel="0" collapsed="false">
      <c r="A169" s="15" t="s">
        <v>1108</v>
      </c>
    </row>
    <row r="170" customFormat="false" ht="15.75" hidden="false" customHeight="false" outlineLevel="0" collapsed="false">
      <c r="A170" s="36" t="n">
        <v>317265</v>
      </c>
    </row>
    <row r="171" customFormat="false" ht="15.75" hidden="false" customHeight="false" outlineLevel="0" collapsed="false">
      <c r="A171" s="15" t="s">
        <v>1109</v>
      </c>
    </row>
    <row r="172" customFormat="false" ht="15.75" hidden="false" customHeight="false" outlineLevel="0" collapsed="false">
      <c r="A172" s="36" t="n">
        <v>318239</v>
      </c>
    </row>
    <row r="173" customFormat="false" ht="15.75" hidden="false" customHeight="false" outlineLevel="0" collapsed="false">
      <c r="A173" s="15" t="s">
        <v>1110</v>
      </c>
    </row>
    <row r="174" customFormat="false" ht="15.75" hidden="false" customHeight="false" outlineLevel="0" collapsed="false">
      <c r="A174" s="36" t="n">
        <v>323103</v>
      </c>
    </row>
    <row r="175" customFormat="false" ht="15.75" hidden="false" customHeight="false" outlineLevel="0" collapsed="false">
      <c r="A175" s="15" t="s">
        <v>1111</v>
      </c>
    </row>
    <row r="176" customFormat="false" ht="15.75" hidden="false" customHeight="false" outlineLevel="0" collapsed="false">
      <c r="A176" s="36" t="n">
        <v>348409</v>
      </c>
    </row>
    <row r="177" customFormat="false" ht="15.75" hidden="false" customHeight="false" outlineLevel="0" collapsed="false">
      <c r="A177" s="15" t="s">
        <v>1112</v>
      </c>
    </row>
    <row r="178" customFormat="false" ht="15.75" hidden="false" customHeight="false" outlineLevel="0" collapsed="false">
      <c r="A178" s="36" t="n">
        <v>368847</v>
      </c>
    </row>
    <row r="179" customFormat="false" ht="15.75" hidden="false" customHeight="false" outlineLevel="0" collapsed="false">
      <c r="A179" s="15" t="s">
        <v>1113</v>
      </c>
    </row>
    <row r="180" customFormat="false" ht="15.75" hidden="false" customHeight="false" outlineLevel="0" collapsed="false">
      <c r="A180" s="36" t="n">
        <v>370790</v>
      </c>
    </row>
    <row r="181" customFormat="false" ht="15.75" hidden="false" customHeight="false" outlineLevel="0" collapsed="false">
      <c r="A181" s="15" t="s">
        <v>1114</v>
      </c>
    </row>
    <row r="182" customFormat="false" ht="15.75" hidden="false" customHeight="false" outlineLevel="0" collapsed="false">
      <c r="A182" s="36" t="n">
        <v>404853</v>
      </c>
    </row>
    <row r="183" customFormat="false" ht="15.75" hidden="false" customHeight="false" outlineLevel="0" collapsed="false">
      <c r="A183" s="15" t="s">
        <v>1115</v>
      </c>
    </row>
    <row r="184" customFormat="false" ht="15.75" hidden="false" customHeight="false" outlineLevel="0" collapsed="false">
      <c r="A184" s="36" t="n">
        <v>446699</v>
      </c>
    </row>
    <row r="185" customFormat="false" ht="15.75" hidden="false" customHeight="false" outlineLevel="0" collapsed="false">
      <c r="A185" s="15" t="s">
        <v>1116</v>
      </c>
    </row>
    <row r="186" customFormat="false" ht="15.75" hidden="false" customHeight="false" outlineLevel="0" collapsed="false">
      <c r="A186" s="36" t="n">
        <v>486597</v>
      </c>
    </row>
    <row r="187" customFormat="false" ht="15.75" hidden="false" customHeight="false" outlineLevel="0" collapsed="false">
      <c r="A187" s="15" t="s">
        <v>1117</v>
      </c>
    </row>
    <row r="188" customFormat="false" ht="15.75" hidden="false" customHeight="false" outlineLevel="0" collapsed="false">
      <c r="A188" s="36" t="n">
        <v>493413</v>
      </c>
    </row>
    <row r="189" customFormat="false" ht="15.75" hidden="false" customHeight="false" outlineLevel="0" collapsed="false">
      <c r="A189" s="15" t="s">
        <v>1118</v>
      </c>
    </row>
    <row r="190" customFormat="false" ht="15.75" hidden="false" customHeight="false" outlineLevel="0" collapsed="false">
      <c r="A190" s="36" t="n">
        <v>509956</v>
      </c>
    </row>
    <row r="191" customFormat="false" ht="15.75" hidden="false" customHeight="false" outlineLevel="0" collapsed="false">
      <c r="A191" s="15" t="s">
        <v>1119</v>
      </c>
    </row>
    <row r="192" customFormat="false" ht="15.75" hidden="false" customHeight="false" outlineLevel="0" collapsed="false">
      <c r="A192" s="36" t="n">
        <v>536231</v>
      </c>
    </row>
    <row r="193" customFormat="false" ht="15.75" hidden="false" customHeight="false" outlineLevel="0" collapsed="false">
      <c r="A193" s="15" t="s">
        <v>1120</v>
      </c>
    </row>
    <row r="194" customFormat="false" ht="15.75" hidden="false" customHeight="false" outlineLevel="0" collapsed="false">
      <c r="A194" s="36" t="n">
        <v>544017</v>
      </c>
    </row>
    <row r="195" customFormat="false" ht="15.75" hidden="false" customHeight="false" outlineLevel="0" collapsed="false">
      <c r="A195" s="15" t="s">
        <v>1121</v>
      </c>
    </row>
    <row r="196" customFormat="false" ht="15.75" hidden="false" customHeight="false" outlineLevel="0" collapsed="false">
      <c r="A196" s="36" t="n">
        <v>584894</v>
      </c>
    </row>
    <row r="197" customFormat="false" ht="15.75" hidden="false" customHeight="false" outlineLevel="0" collapsed="false">
      <c r="A197" s="15" t="s">
        <v>1122</v>
      </c>
    </row>
    <row r="198" customFormat="false" ht="15.75" hidden="false" customHeight="false" outlineLevel="0" collapsed="false">
      <c r="A198" s="36" t="n">
        <v>597544</v>
      </c>
    </row>
    <row r="199" customFormat="false" ht="15.75" hidden="false" customHeight="false" outlineLevel="0" collapsed="false">
      <c r="A199" s="15" t="s">
        <v>1123</v>
      </c>
    </row>
    <row r="200" customFormat="false" ht="15.75" hidden="false" customHeight="false" outlineLevel="0" collapsed="false">
      <c r="A200" s="36" t="n">
        <v>633551</v>
      </c>
    </row>
    <row r="201" customFormat="false" ht="15.75" hidden="false" customHeight="false" outlineLevel="0" collapsed="false">
      <c r="A201" s="15" t="s">
        <v>1124</v>
      </c>
    </row>
    <row r="202" customFormat="false" ht="15.75" hidden="false" customHeight="false" outlineLevel="0" collapsed="false">
      <c r="A202" s="36" t="n">
        <v>647179</v>
      </c>
    </row>
    <row r="203" customFormat="false" ht="15.75" hidden="false" customHeight="false" outlineLevel="0" collapsed="false">
      <c r="A203" s="15" t="s">
        <v>1125</v>
      </c>
    </row>
    <row r="204" customFormat="false" ht="15.75" hidden="false" customHeight="false" outlineLevel="0" collapsed="false">
      <c r="A204" s="36" t="n">
        <v>654966</v>
      </c>
    </row>
    <row r="205" customFormat="false" ht="15.75" hidden="false" customHeight="false" outlineLevel="0" collapsed="false">
      <c r="A205" s="15" t="s">
        <v>1126</v>
      </c>
    </row>
    <row r="206" customFormat="false" ht="15.75" hidden="false" customHeight="false" outlineLevel="0" collapsed="false">
      <c r="A206" s="36" t="n">
        <v>738656</v>
      </c>
    </row>
    <row r="207" customFormat="false" ht="15.75" hidden="false" customHeight="false" outlineLevel="0" collapsed="false">
      <c r="A207" s="15" t="s">
        <v>1127</v>
      </c>
    </row>
    <row r="208" customFormat="false" ht="15.75" hidden="false" customHeight="false" outlineLevel="0" collapsed="false">
      <c r="A208" s="36" t="n">
        <v>752281</v>
      </c>
    </row>
    <row r="209" customFormat="false" ht="15.75" hidden="false" customHeight="false" outlineLevel="0" collapsed="false">
      <c r="A209" s="15" t="s">
        <v>1128</v>
      </c>
    </row>
    <row r="210" customFormat="false" ht="15.75" hidden="false" customHeight="false" outlineLevel="0" collapsed="false">
      <c r="A210" s="36" t="n">
        <v>805806</v>
      </c>
    </row>
    <row r="211" customFormat="false" ht="15.75" hidden="false" customHeight="false" outlineLevel="0" collapsed="false">
      <c r="A211" s="15" t="s">
        <v>1129</v>
      </c>
    </row>
    <row r="212" customFormat="false" ht="15.75" hidden="false" customHeight="false" outlineLevel="0" collapsed="false">
      <c r="A212" s="36" t="n">
        <v>871015</v>
      </c>
    </row>
    <row r="213" customFormat="false" ht="15.75" hidden="false" customHeight="false" outlineLevel="0" collapsed="false">
      <c r="A213" s="15" t="s">
        <v>1130</v>
      </c>
    </row>
    <row r="214" customFormat="false" ht="15.75" hidden="false" customHeight="false" outlineLevel="0" collapsed="false">
      <c r="A214" s="36" t="n">
        <v>877822</v>
      </c>
    </row>
    <row r="215" customFormat="false" ht="15.75" hidden="false" customHeight="false" outlineLevel="0" collapsed="false">
      <c r="A215" s="15" t="s">
        <v>1131</v>
      </c>
    </row>
    <row r="216" customFormat="false" ht="15.75" hidden="false" customHeight="false" outlineLevel="0" collapsed="false">
      <c r="A216" s="36" t="n">
        <v>925509</v>
      </c>
    </row>
    <row r="217" customFormat="false" ht="15.75" hidden="false" customHeight="false" outlineLevel="0" collapsed="false">
      <c r="A217" s="15" t="s">
        <v>1132</v>
      </c>
    </row>
    <row r="218" customFormat="false" ht="15.75" hidden="false" customHeight="false" outlineLevel="0" collapsed="false">
      <c r="A218" s="36" t="n">
        <v>973192</v>
      </c>
    </row>
    <row r="219" customFormat="false" ht="15.75" hidden="false" customHeight="false" outlineLevel="0" collapsed="false">
      <c r="A219" s="15" t="s">
        <v>1133</v>
      </c>
    </row>
    <row r="220" customFormat="false" ht="15.75" hidden="false" customHeight="false" outlineLevel="0" collapsed="false">
      <c r="A220" s="36" t="n">
        <v>974166</v>
      </c>
    </row>
    <row r="221" customFormat="false" ht="15.75" hidden="false" customHeight="false" outlineLevel="0" collapsed="false">
      <c r="A221" s="15" t="s">
        <v>1134</v>
      </c>
    </row>
    <row r="222" customFormat="false" ht="15.75" hidden="false" customHeight="false" outlineLevel="0" collapsed="false">
      <c r="A222" s="36" t="n">
        <v>977087</v>
      </c>
    </row>
    <row r="223" customFormat="false" ht="15.75" hidden="false" customHeight="false" outlineLevel="0" collapsed="false">
      <c r="A223" s="15" t="s">
        <v>1135</v>
      </c>
    </row>
    <row r="224" customFormat="false" ht="15.75" hidden="false" customHeight="false" outlineLevel="0" collapsed="false">
      <c r="A224" s="36" t="n">
        <v>980979</v>
      </c>
    </row>
    <row r="225" customFormat="false" ht="15.75" hidden="false" customHeight="false" outlineLevel="0" collapsed="false">
      <c r="A225" s="15" t="s">
        <v>1136</v>
      </c>
    </row>
    <row r="226" customFormat="false" ht="15.75" hidden="false" customHeight="false" outlineLevel="0" collapsed="false">
      <c r="A226" s="36" t="n">
        <v>982925</v>
      </c>
    </row>
    <row r="227" customFormat="false" ht="15.75" hidden="false" customHeight="false" outlineLevel="0" collapsed="false">
      <c r="A227" s="15" t="s">
        <v>1137</v>
      </c>
    </row>
    <row r="228" customFormat="false" ht="15.75" hidden="false" customHeight="false" outlineLevel="0" collapsed="false">
      <c r="A228" s="36" t="n">
        <v>992657</v>
      </c>
    </row>
    <row r="229" customFormat="false" ht="15.75" hidden="false" customHeight="false" outlineLevel="0" collapsed="false">
      <c r="A229" s="15" t="s">
        <v>1138</v>
      </c>
    </row>
    <row r="230" customFormat="false" ht="15.75" hidden="false" customHeight="false" outlineLevel="0" collapsed="false">
      <c r="A230" s="36" t="n">
        <v>1021853</v>
      </c>
    </row>
    <row r="231" customFormat="false" ht="15.75" hidden="false" customHeight="false" outlineLevel="0" collapsed="false">
      <c r="A231" s="15" t="s">
        <v>1139</v>
      </c>
    </row>
    <row r="232" customFormat="false" ht="15.75" hidden="false" customHeight="false" outlineLevel="0" collapsed="false">
      <c r="A232" s="36" t="n">
        <v>1022826</v>
      </c>
    </row>
    <row r="233" customFormat="false" ht="15.75" hidden="false" customHeight="false" outlineLevel="0" collapsed="false">
      <c r="A233" s="15" t="s">
        <v>1140</v>
      </c>
    </row>
    <row r="234" customFormat="false" ht="15.75" hidden="false" customHeight="false" outlineLevel="0" collapsed="false">
      <c r="A234" s="36" t="n">
        <v>1070512</v>
      </c>
    </row>
    <row r="235" customFormat="false" ht="15.75" hidden="false" customHeight="false" outlineLevel="0" collapsed="false">
      <c r="A235" s="15" t="s">
        <v>1141</v>
      </c>
    </row>
    <row r="236" customFormat="false" ht="15.75" hidden="false" customHeight="false" outlineLevel="0" collapsed="false">
      <c r="A236" s="36" t="n">
        <v>1167832</v>
      </c>
    </row>
    <row r="237" customFormat="false" ht="15.75" hidden="false" customHeight="false" outlineLevel="0" collapsed="false">
      <c r="A237" s="15" t="s">
        <v>1142</v>
      </c>
    </row>
    <row r="238" customFormat="false" ht="15.75" hidden="false" customHeight="false" outlineLevel="0" collapsed="false">
      <c r="A238" s="36" t="n">
        <v>1246664</v>
      </c>
    </row>
    <row r="239" customFormat="false" ht="15.75" hidden="false" customHeight="false" outlineLevel="0" collapsed="false">
      <c r="A239" s="15" t="s">
        <v>1143</v>
      </c>
    </row>
    <row r="240" customFormat="false" ht="15.75" hidden="false" customHeight="false" outlineLevel="0" collapsed="false">
      <c r="A240" s="36" t="n">
        <v>1311865</v>
      </c>
    </row>
    <row r="241" customFormat="false" ht="15.75" hidden="false" customHeight="false" outlineLevel="0" collapsed="false">
      <c r="A241" s="15" t="s">
        <v>1144</v>
      </c>
    </row>
    <row r="242" customFormat="false" ht="15.75" hidden="false" customHeight="false" outlineLevel="0" collapsed="false">
      <c r="A242" s="36" t="n">
        <v>1946384</v>
      </c>
    </row>
    <row r="243" customFormat="false" ht="15.75" hidden="false" customHeight="false" outlineLevel="0" collapsed="false">
      <c r="A243" s="15" t="s">
        <v>1145</v>
      </c>
    </row>
    <row r="244" customFormat="false" ht="15.75" hidden="false" customHeight="false" outlineLevel="0" collapsed="false">
      <c r="A244" s="36" t="n">
        <v>4865959</v>
      </c>
    </row>
    <row r="245" customFormat="false" ht="15.75" hidden="false" customHeight="false" outlineLevel="0" collapsed="false">
      <c r="A245" s="15" t="s">
        <v>1146</v>
      </c>
    </row>
    <row r="246" customFormat="false" ht="15.75" hidden="false" customHeight="false" outlineLevel="0" collapsed="false">
      <c r="A246" s="36" t="n">
        <v>4942844</v>
      </c>
    </row>
    <row r="247" customFormat="false" ht="15.75" hidden="false" customHeight="false" outlineLevel="0" collapsed="false">
      <c r="A247" s="15" t="s">
        <v>1147</v>
      </c>
    </row>
    <row r="248" customFormat="false" ht="15.75" hidden="false" customHeight="false" outlineLevel="0" collapsed="false">
      <c r="A248" s="36" t="n">
        <v>9731918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0" t="s">
        <v>1097</v>
      </c>
    </row>
    <row r="2" customFormat="false" ht="15.75" hidden="false" customHeight="false" outlineLevel="0" collapsed="false">
      <c r="A2" s="31" t="s">
        <v>1148</v>
      </c>
    </row>
    <row r="3" customFormat="false" ht="15.75" hidden="false" customHeight="false" outlineLevel="0" collapsed="false">
      <c r="A3" s="32" t="s">
        <v>1149</v>
      </c>
    </row>
    <row r="4" customFormat="false" ht="15.75" hidden="false" customHeight="false" outlineLevel="0" collapsed="false">
      <c r="A4" s="30" t="s">
        <v>1027</v>
      </c>
    </row>
    <row r="5" customFormat="false" ht="15.75" hidden="false" customHeight="false" outlineLevel="0" collapsed="false">
      <c r="A5" s="31" t="s">
        <v>1150</v>
      </c>
    </row>
    <row r="6" customFormat="false" ht="15.75" hidden="false" customHeight="false" outlineLevel="0" collapsed="false">
      <c r="A6" s="30" t="s">
        <v>1031</v>
      </c>
    </row>
    <row r="7" customFormat="false" ht="15.75" hidden="false" customHeight="false" outlineLevel="0" collapsed="false">
      <c r="A7" s="31" t="s">
        <v>1151</v>
      </c>
    </row>
    <row r="8" customFormat="false" ht="15.75" hidden="false" customHeight="false" outlineLevel="0" collapsed="false">
      <c r="A8" s="30" t="s">
        <v>1032</v>
      </c>
    </row>
    <row r="9" customFormat="false" ht="15.75" hidden="false" customHeight="false" outlineLevel="0" collapsed="false">
      <c r="A9" s="31" t="s">
        <v>1152</v>
      </c>
    </row>
    <row r="10" customFormat="false" ht="15.75" hidden="false" customHeight="false" outlineLevel="0" collapsed="false">
      <c r="A10" s="30" t="s">
        <v>925</v>
      </c>
    </row>
    <row r="11" customFormat="false" ht="15.75" hidden="false" customHeight="false" outlineLevel="0" collapsed="false">
      <c r="A11" s="31" t="s">
        <v>1153</v>
      </c>
    </row>
    <row r="12" customFormat="false" ht="15.75" hidden="false" customHeight="false" outlineLevel="0" collapsed="false">
      <c r="A12" s="30" t="s">
        <v>1154</v>
      </c>
    </row>
    <row r="13" customFormat="false" ht="15.75" hidden="false" customHeight="false" outlineLevel="0" collapsed="false">
      <c r="A13" s="31" t="s">
        <v>1155</v>
      </c>
    </row>
    <row r="14" customFormat="false" ht="15.75" hidden="false" customHeight="false" outlineLevel="0" collapsed="false">
      <c r="A14" s="30" t="s">
        <v>1156</v>
      </c>
    </row>
    <row r="15" customFormat="false" ht="15.75" hidden="false" customHeight="false" outlineLevel="0" collapsed="false">
      <c r="A15" s="31" t="s">
        <v>1157</v>
      </c>
    </row>
    <row r="16" customFormat="false" ht="15.75" hidden="false" customHeight="false" outlineLevel="0" collapsed="false">
      <c r="A16" s="30" t="s">
        <v>1083</v>
      </c>
    </row>
    <row r="17" customFormat="false" ht="15.75" hidden="false" customHeight="false" outlineLevel="0" collapsed="false">
      <c r="A17" s="31" t="s">
        <v>1158</v>
      </c>
    </row>
    <row r="18" customFormat="false" ht="15.75" hidden="false" customHeight="false" outlineLevel="0" collapsed="false">
      <c r="A18" s="30" t="s">
        <v>1089</v>
      </c>
    </row>
    <row r="19" customFormat="false" ht="15.75" hidden="false" customHeight="false" outlineLevel="0" collapsed="false">
      <c r="A19" s="31" t="s">
        <v>1159</v>
      </c>
    </row>
    <row r="20" customFormat="false" ht="15.75" hidden="false" customHeight="false" outlineLevel="0" collapsed="false">
      <c r="A20" s="30" t="s">
        <v>1160</v>
      </c>
    </row>
    <row r="21" customFormat="false" ht="15.75" hidden="false" customHeight="false" outlineLevel="0" collapsed="false">
      <c r="A21" s="31" t="s">
        <v>1161</v>
      </c>
    </row>
    <row r="22" customFormat="false" ht="15.75" hidden="false" customHeight="false" outlineLevel="0" collapsed="false">
      <c r="A22" s="32" t="s">
        <v>1149</v>
      </c>
    </row>
    <row r="23" customFormat="false" ht="15.75" hidden="false" customHeight="false" outlineLevel="0" collapsed="false">
      <c r="A23" s="30" t="s">
        <v>1162</v>
      </c>
    </row>
    <row r="24" customFormat="false" ht="15.75" hidden="false" customHeight="false" outlineLevel="0" collapsed="false">
      <c r="A24" s="31" t="s">
        <v>1163</v>
      </c>
    </row>
    <row r="25" customFormat="false" ht="15.75" hidden="false" customHeight="false" outlineLevel="0" collapsed="false">
      <c r="A25" s="32" t="s">
        <v>1149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1164</v>
      </c>
    </row>
    <row r="2" customFormat="false" ht="15.75" hidden="false" customHeight="false" outlineLevel="0" collapsed="false">
      <c r="A2" s="16" t="s">
        <v>115</v>
      </c>
    </row>
    <row r="3" customFormat="false" ht="15.75" hidden="false" customHeight="false" outlineLevel="0" collapsed="false">
      <c r="A3" s="16" t="s">
        <v>1165</v>
      </c>
    </row>
    <row r="4" customFormat="false" ht="15.75" hidden="false" customHeight="false" outlineLevel="0" collapsed="false">
      <c r="A4" s="17" t="n">
        <v>17286</v>
      </c>
    </row>
    <row r="5" customFormat="false" ht="15.75" hidden="false" customHeight="false" outlineLevel="0" collapsed="false">
      <c r="A5" s="16" t="s">
        <v>1166</v>
      </c>
    </row>
    <row r="6" customFormat="false" ht="15.75" hidden="false" customHeight="false" outlineLevel="0" collapsed="false">
      <c r="A6" s="17" t="n">
        <v>86816</v>
      </c>
    </row>
    <row r="7" customFormat="false" ht="15.75" hidden="false" customHeight="false" outlineLevel="0" collapsed="false">
      <c r="A7" s="16" t="s">
        <v>1167</v>
      </c>
    </row>
    <row r="8" customFormat="false" ht="15.75" hidden="false" customHeight="false" outlineLevel="0" collapsed="false">
      <c r="A8" s="17" t="n">
        <v>173632</v>
      </c>
    </row>
    <row r="9" customFormat="false" ht="15.75" hidden="false" customHeight="false" outlineLevel="0" collapsed="false">
      <c r="A9" s="16" t="s">
        <v>1168</v>
      </c>
    </row>
    <row r="10" customFormat="false" ht="15.75" hidden="false" customHeight="false" outlineLevel="0" collapsed="false">
      <c r="A10" s="17" t="n">
        <v>434467</v>
      </c>
    </row>
    <row r="11" customFormat="false" ht="15.75" hidden="false" customHeight="false" outlineLevel="0" collapsed="false">
      <c r="A11" s="16" t="s">
        <v>1169</v>
      </c>
    </row>
    <row r="12" customFormat="false" ht="15.75" hidden="false" customHeight="false" outlineLevel="0" collapsed="false">
      <c r="A12" s="17" t="n">
        <v>868933</v>
      </c>
    </row>
    <row r="13" customFormat="false" ht="15.75" hidden="false" customHeight="false" outlineLevel="0" collapsed="false">
      <c r="A13" s="16" t="s">
        <v>1170</v>
      </c>
    </row>
    <row r="14" customFormat="false" ht="15.75" hidden="false" customHeight="false" outlineLevel="0" collapsed="false">
      <c r="A14" s="17" t="n">
        <v>1738057</v>
      </c>
    </row>
    <row r="15" customFormat="false" ht="15.75" hidden="false" customHeight="false" outlineLevel="0" collapsed="false">
      <c r="A15" s="18" t="s">
        <v>1171</v>
      </c>
    </row>
    <row r="16" customFormat="false" ht="15.75" hidden="false" customHeight="false" outlineLevel="0" collapsed="false">
      <c r="A16" s="15" t="s">
        <v>1171</v>
      </c>
    </row>
    <row r="17" customFormat="false" ht="15.75" hidden="false" customHeight="false" outlineLevel="0" collapsed="false">
      <c r="A17" s="16" t="s">
        <v>1172</v>
      </c>
    </row>
    <row r="18" customFormat="false" ht="15.75" hidden="false" customHeight="false" outlineLevel="0" collapsed="false">
      <c r="A18" s="17" t="n">
        <v>17031</v>
      </c>
    </row>
    <row r="19" customFormat="false" ht="15.75" hidden="false" customHeight="false" outlineLevel="0" collapsed="false">
      <c r="A19" s="16" t="s">
        <v>1173</v>
      </c>
    </row>
    <row r="20" customFormat="false" ht="15.75" hidden="false" customHeight="false" outlineLevel="0" collapsed="false">
      <c r="A20" s="17" t="n">
        <v>34061</v>
      </c>
    </row>
    <row r="21" customFormat="false" ht="15.75" hidden="false" customHeight="false" outlineLevel="0" collapsed="false">
      <c r="A21" s="16" t="s">
        <v>1174</v>
      </c>
    </row>
    <row r="22" customFormat="false" ht="15.75" hidden="false" customHeight="false" outlineLevel="0" collapsed="false">
      <c r="A22" s="17" t="n">
        <v>51091</v>
      </c>
    </row>
    <row r="23" customFormat="false" ht="15.75" hidden="false" customHeight="false" outlineLevel="0" collapsed="false">
      <c r="A23" s="16" t="s">
        <v>1175</v>
      </c>
    </row>
    <row r="24" customFormat="false" ht="15.75" hidden="false" customHeight="false" outlineLevel="0" collapsed="false">
      <c r="A24" s="17" t="n">
        <v>68121</v>
      </c>
    </row>
    <row r="25" customFormat="false" ht="15.75" hidden="false" customHeight="false" outlineLevel="0" collapsed="false">
      <c r="A25" s="16" t="s">
        <v>1176</v>
      </c>
    </row>
    <row r="26" customFormat="false" ht="15.75" hidden="false" customHeight="false" outlineLevel="0" collapsed="false">
      <c r="A26" s="17" t="n">
        <v>86213</v>
      </c>
    </row>
    <row r="27" customFormat="false" ht="15.75" hidden="false" customHeight="false" outlineLevel="0" collapsed="false">
      <c r="A27" s="16" t="s">
        <v>1177</v>
      </c>
    </row>
    <row r="28" customFormat="false" ht="15.75" hidden="false" customHeight="false" outlineLevel="0" collapsed="false">
      <c r="A28" s="17" t="n">
        <v>103243</v>
      </c>
    </row>
    <row r="29" customFormat="false" ht="15.75" hidden="false" customHeight="false" outlineLevel="0" collapsed="false">
      <c r="A29" s="16" t="s">
        <v>1178</v>
      </c>
    </row>
    <row r="30" customFormat="false" ht="15.75" hidden="false" customHeight="false" outlineLevel="0" collapsed="false">
      <c r="A30" s="17" t="n">
        <v>120273</v>
      </c>
    </row>
    <row r="31" customFormat="false" ht="15.75" hidden="false" customHeight="false" outlineLevel="0" collapsed="false">
      <c r="A31" s="16" t="s">
        <v>1179</v>
      </c>
    </row>
    <row r="32" customFormat="false" ht="15.75" hidden="false" customHeight="false" outlineLevel="0" collapsed="false">
      <c r="A32" s="17" t="n">
        <v>137303</v>
      </c>
    </row>
    <row r="33" customFormat="false" ht="15.75" hidden="false" customHeight="false" outlineLevel="0" collapsed="false">
      <c r="A33" s="16" t="s">
        <v>1180</v>
      </c>
    </row>
    <row r="34" customFormat="false" ht="15.75" hidden="false" customHeight="false" outlineLevel="0" collapsed="false">
      <c r="A34" s="17" t="n">
        <v>154333</v>
      </c>
    </row>
    <row r="35" customFormat="false" ht="15.75" hidden="false" customHeight="false" outlineLevel="0" collapsed="false">
      <c r="A35" s="16" t="s">
        <v>1181</v>
      </c>
    </row>
    <row r="36" customFormat="false" ht="15.75" hidden="false" customHeight="false" outlineLevel="0" collapsed="false">
      <c r="A36" s="17" t="n">
        <v>172425</v>
      </c>
    </row>
    <row r="37" customFormat="false" ht="15.75" hidden="false" customHeight="false" outlineLevel="0" collapsed="false">
      <c r="A37" s="16" t="s">
        <v>1182</v>
      </c>
    </row>
    <row r="38" customFormat="false" ht="15.75" hidden="false" customHeight="false" outlineLevel="0" collapsed="false">
      <c r="A38" s="17" t="n">
        <v>189455</v>
      </c>
    </row>
    <row r="39" customFormat="false" ht="15.75" hidden="false" customHeight="false" outlineLevel="0" collapsed="false">
      <c r="A39" s="16" t="s">
        <v>1183</v>
      </c>
    </row>
    <row r="40" customFormat="false" ht="15.75" hidden="false" customHeight="false" outlineLevel="0" collapsed="false">
      <c r="A40" s="17" t="n">
        <v>206485</v>
      </c>
    </row>
    <row r="41" customFormat="false" ht="15.75" hidden="false" customHeight="false" outlineLevel="0" collapsed="false">
      <c r="A41" s="16" t="s">
        <v>1184</v>
      </c>
    </row>
    <row r="42" customFormat="false" ht="15.75" hidden="false" customHeight="false" outlineLevel="0" collapsed="false">
      <c r="A42" s="17" t="n">
        <v>223515</v>
      </c>
    </row>
    <row r="43" customFormat="false" ht="15.75" hidden="false" customHeight="false" outlineLevel="0" collapsed="false">
      <c r="A43" s="16" t="s">
        <v>1185</v>
      </c>
    </row>
    <row r="44" customFormat="false" ht="15.75" hidden="false" customHeight="false" outlineLevel="0" collapsed="false">
      <c r="A44" s="17" t="n">
        <v>240545</v>
      </c>
    </row>
    <row r="45" customFormat="false" ht="15.75" hidden="false" customHeight="false" outlineLevel="0" collapsed="false">
      <c r="A45" s="16" t="s">
        <v>1186</v>
      </c>
    </row>
    <row r="46" customFormat="false" ht="15.75" hidden="false" customHeight="false" outlineLevel="0" collapsed="false">
      <c r="A46" s="17" t="n">
        <v>258637</v>
      </c>
    </row>
    <row r="47" customFormat="false" ht="15.75" hidden="false" customHeight="false" outlineLevel="0" collapsed="false">
      <c r="A47" s="16" t="s">
        <v>1187</v>
      </c>
    </row>
    <row r="48" customFormat="false" ht="15.75" hidden="false" customHeight="false" outlineLevel="0" collapsed="false">
      <c r="A48" s="17" t="n">
        <v>292697</v>
      </c>
    </row>
    <row r="49" customFormat="false" ht="15.75" hidden="false" customHeight="false" outlineLevel="0" collapsed="false">
      <c r="A49" s="16" t="s">
        <v>1188</v>
      </c>
    </row>
    <row r="50" customFormat="false" ht="15.75" hidden="false" customHeight="false" outlineLevel="0" collapsed="false">
      <c r="A50" s="17" t="n">
        <v>309727</v>
      </c>
    </row>
    <row r="51" customFormat="false" ht="15.75" hidden="false" customHeight="false" outlineLevel="0" collapsed="false">
      <c r="A51" s="16" t="s">
        <v>1189</v>
      </c>
    </row>
    <row r="52" customFormat="false" ht="15.75" hidden="false" customHeight="false" outlineLevel="0" collapsed="false">
      <c r="A52" s="17" t="n">
        <v>344849</v>
      </c>
    </row>
    <row r="53" customFormat="false" ht="15.75" hidden="false" customHeight="false" outlineLevel="0" collapsed="false">
      <c r="A53" s="16" t="s">
        <v>1190</v>
      </c>
    </row>
    <row r="54" customFormat="false" ht="15.75" hidden="false" customHeight="false" outlineLevel="0" collapsed="false">
      <c r="A54" s="17" t="n">
        <v>395939</v>
      </c>
    </row>
    <row r="55" customFormat="false" ht="15.75" hidden="false" customHeight="false" outlineLevel="0" collapsed="false">
      <c r="A55" s="16" t="s">
        <v>1191</v>
      </c>
    </row>
    <row r="56" customFormat="false" ht="15.75" hidden="false" customHeight="false" outlineLevel="0" collapsed="false">
      <c r="A56" s="17" t="n">
        <v>431060</v>
      </c>
    </row>
    <row r="57" customFormat="false" ht="15.75" hidden="false" customHeight="false" outlineLevel="0" collapsed="false">
      <c r="A57" s="16" t="s">
        <v>1192</v>
      </c>
    </row>
    <row r="58" customFormat="false" ht="15.75" hidden="false" customHeight="false" outlineLevel="0" collapsed="false">
      <c r="A58" s="17" t="n">
        <v>465120</v>
      </c>
    </row>
    <row r="59" customFormat="false" ht="15.75" hidden="false" customHeight="false" outlineLevel="0" collapsed="false">
      <c r="A59" s="16" t="s">
        <v>1193</v>
      </c>
    </row>
    <row r="60" customFormat="false" ht="15.75" hidden="false" customHeight="false" outlineLevel="0" collapsed="false">
      <c r="A60" s="17" t="n">
        <v>482150</v>
      </c>
    </row>
    <row r="61" customFormat="false" ht="15.75" hidden="false" customHeight="false" outlineLevel="0" collapsed="false">
      <c r="A61" s="16" t="s">
        <v>1194</v>
      </c>
    </row>
    <row r="62" customFormat="false" ht="15.75" hidden="false" customHeight="false" outlineLevel="0" collapsed="false">
      <c r="A62" s="17" t="n">
        <v>517272</v>
      </c>
    </row>
    <row r="63" customFormat="false" ht="15.75" hidden="false" customHeight="false" outlineLevel="0" collapsed="false">
      <c r="A63" s="16" t="s">
        <v>1195</v>
      </c>
    </row>
    <row r="64" customFormat="false" ht="15.75" hidden="false" customHeight="false" outlineLevel="0" collapsed="false">
      <c r="A64" s="17" t="n">
        <v>603484</v>
      </c>
    </row>
    <row r="65" customFormat="false" ht="15.75" hidden="false" customHeight="false" outlineLevel="0" collapsed="false">
      <c r="A65" s="16" t="s">
        <v>1196</v>
      </c>
    </row>
    <row r="66" customFormat="false" ht="15.75" hidden="false" customHeight="false" outlineLevel="0" collapsed="false">
      <c r="A66" s="17" t="n">
        <v>689696</v>
      </c>
    </row>
    <row r="67" customFormat="false" ht="15.75" hidden="false" customHeight="false" outlineLevel="0" collapsed="false">
      <c r="A67" s="16" t="s">
        <v>1197</v>
      </c>
    </row>
    <row r="68" customFormat="false" ht="15.75" hidden="false" customHeight="false" outlineLevel="0" collapsed="false">
      <c r="A68" s="17" t="n">
        <v>775908</v>
      </c>
    </row>
    <row r="69" customFormat="false" ht="15.75" hidden="false" customHeight="false" outlineLevel="0" collapsed="false">
      <c r="A69" s="16" t="s">
        <v>1198</v>
      </c>
    </row>
    <row r="70" customFormat="false" ht="15.75" hidden="false" customHeight="false" outlineLevel="0" collapsed="false">
      <c r="A70" s="17" t="n">
        <v>862119</v>
      </c>
    </row>
    <row r="71" customFormat="false" ht="15.75" hidden="false" customHeight="false" outlineLevel="0" collapsed="false">
      <c r="A71" s="16" t="s">
        <v>1199</v>
      </c>
    </row>
    <row r="72" customFormat="false" ht="15.75" hidden="false" customHeight="false" outlineLevel="0" collapsed="false">
      <c r="A72" s="17" t="n">
        <v>913209</v>
      </c>
    </row>
    <row r="73" customFormat="false" ht="15.75" hidden="false" customHeight="false" outlineLevel="0" collapsed="false">
      <c r="A73" s="16" t="s">
        <v>1200</v>
      </c>
    </row>
    <row r="74" customFormat="false" ht="15.75" hidden="false" customHeight="false" outlineLevel="0" collapsed="false">
      <c r="A74" s="17" t="n">
        <v>948331</v>
      </c>
    </row>
    <row r="75" customFormat="false" ht="15.75" hidden="false" customHeight="false" outlineLevel="0" collapsed="false">
      <c r="A75" s="16" t="s">
        <v>1201</v>
      </c>
    </row>
    <row r="76" customFormat="false" ht="15.75" hidden="false" customHeight="false" outlineLevel="0" collapsed="false">
      <c r="A76" s="17" t="n">
        <v>1034543</v>
      </c>
    </row>
    <row r="77" customFormat="false" ht="15.75" hidden="false" customHeight="false" outlineLevel="0" collapsed="false">
      <c r="A77" s="16" t="s">
        <v>1202</v>
      </c>
    </row>
    <row r="78" customFormat="false" ht="15.75" hidden="false" customHeight="false" outlineLevel="0" collapsed="false">
      <c r="A78" s="17" t="n">
        <v>1120755</v>
      </c>
    </row>
    <row r="79" customFormat="false" ht="15.75" hidden="false" customHeight="false" outlineLevel="0" collapsed="false">
      <c r="A79" s="16" t="s">
        <v>1203</v>
      </c>
    </row>
    <row r="80" customFormat="false" ht="15.75" hidden="false" customHeight="false" outlineLevel="0" collapsed="false">
      <c r="A80" s="17" t="n">
        <v>1206967</v>
      </c>
    </row>
    <row r="81" customFormat="false" ht="15.75" hidden="false" customHeight="false" outlineLevel="0" collapsed="false">
      <c r="A81" s="16" t="s">
        <v>1204</v>
      </c>
    </row>
    <row r="82" customFormat="false" ht="15.75" hidden="false" customHeight="false" outlineLevel="0" collapsed="false">
      <c r="A82" s="17" t="n">
        <v>1293178</v>
      </c>
    </row>
    <row r="83" customFormat="false" ht="15.75" hidden="false" customHeight="false" outlineLevel="0" collapsed="false">
      <c r="A83" s="16" t="s">
        <v>1205</v>
      </c>
    </row>
    <row r="84" customFormat="false" ht="15.75" hidden="false" customHeight="false" outlineLevel="0" collapsed="false">
      <c r="A84" s="17" t="n">
        <v>1379390</v>
      </c>
    </row>
    <row r="85" customFormat="false" ht="15.75" hidden="false" customHeight="false" outlineLevel="0" collapsed="false">
      <c r="A85" s="16" t="s">
        <v>1206</v>
      </c>
    </row>
    <row r="86" customFormat="false" ht="15.75" hidden="false" customHeight="false" outlineLevel="0" collapsed="false">
      <c r="A86" s="17" t="n">
        <v>1465602</v>
      </c>
    </row>
    <row r="87" customFormat="false" ht="15.75" hidden="false" customHeight="false" outlineLevel="0" collapsed="false">
      <c r="A87" s="16" t="s">
        <v>1207</v>
      </c>
    </row>
    <row r="88" customFormat="false" ht="15.75" hidden="false" customHeight="false" outlineLevel="0" collapsed="false">
      <c r="A88" s="17" t="n">
        <v>1551814</v>
      </c>
    </row>
    <row r="89" customFormat="false" ht="15.75" hidden="false" customHeight="false" outlineLevel="0" collapsed="false">
      <c r="A89" s="16" t="s">
        <v>1208</v>
      </c>
    </row>
    <row r="90" customFormat="false" ht="15.75" hidden="false" customHeight="false" outlineLevel="0" collapsed="false">
      <c r="A90" s="17" t="n">
        <v>1638026</v>
      </c>
    </row>
    <row r="91" customFormat="false" ht="15.75" hidden="false" customHeight="false" outlineLevel="0" collapsed="false">
      <c r="A91" s="16" t="s">
        <v>1209</v>
      </c>
    </row>
    <row r="92" customFormat="false" ht="15.75" hidden="false" customHeight="false" outlineLevel="0" collapsed="false">
      <c r="A92" s="17" t="n">
        <v>1724237</v>
      </c>
    </row>
    <row r="93" customFormat="false" ht="15.75" hidden="false" customHeight="false" outlineLevel="0" collapsed="false">
      <c r="A93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n">
        <v>1343</v>
      </c>
      <c r="B2" s="34" t="s">
        <v>1210</v>
      </c>
      <c r="C2" s="34" t="s">
        <v>1165</v>
      </c>
      <c r="D2" s="34" t="s">
        <v>1211</v>
      </c>
      <c r="E2" s="34" t="s">
        <v>1212</v>
      </c>
      <c r="F2" s="34" t="s">
        <v>1213</v>
      </c>
      <c r="G2" s="34" t="s">
        <v>1214</v>
      </c>
      <c r="H2" s="34" t="s">
        <v>60</v>
      </c>
    </row>
    <row r="3" customFormat="false" ht="15.75" hidden="false" customHeight="false" outlineLevel="0" collapsed="false">
      <c r="A3" s="34" t="n">
        <v>1459</v>
      </c>
      <c r="B3" s="34" t="s">
        <v>1210</v>
      </c>
      <c r="C3" s="34" t="s">
        <v>1215</v>
      </c>
      <c r="D3" s="34" t="s">
        <v>1216</v>
      </c>
      <c r="E3" s="34" t="s">
        <v>503</v>
      </c>
      <c r="F3" s="34" t="s">
        <v>1217</v>
      </c>
      <c r="G3" s="34" t="s">
        <v>1218</v>
      </c>
      <c r="H3" s="34" t="s">
        <v>60</v>
      </c>
    </row>
    <row r="4" customFormat="false" ht="15.75" hidden="false" customHeight="false" outlineLevel="0" collapsed="false">
      <c r="A4" s="34" t="n">
        <v>1344</v>
      </c>
      <c r="B4" s="34" t="s">
        <v>1210</v>
      </c>
      <c r="C4" s="34" t="s">
        <v>1219</v>
      </c>
      <c r="D4" s="34" t="s">
        <v>1220</v>
      </c>
      <c r="E4" s="34" t="s">
        <v>1221</v>
      </c>
      <c r="F4" s="34" t="s">
        <v>1222</v>
      </c>
      <c r="G4" s="34" t="s">
        <v>1223</v>
      </c>
      <c r="H4" s="34" t="s">
        <v>60</v>
      </c>
    </row>
    <row r="5" customFormat="false" ht="15.75" hidden="false" customHeight="false" outlineLevel="0" collapsed="false">
      <c r="A5" s="34" t="n">
        <v>1345</v>
      </c>
      <c r="B5" s="34" t="s">
        <v>1210</v>
      </c>
      <c r="C5" s="34" t="s">
        <v>1224</v>
      </c>
      <c r="D5" s="34" t="s">
        <v>1225</v>
      </c>
      <c r="E5" s="34" t="s">
        <v>1226</v>
      </c>
      <c r="F5" s="34" t="s">
        <v>1227</v>
      </c>
      <c r="G5" s="34" t="s">
        <v>1228</v>
      </c>
      <c r="H5" s="34" t="s">
        <v>60</v>
      </c>
    </row>
    <row r="6" customFormat="false" ht="15.75" hidden="false" customHeight="false" outlineLevel="0" collapsed="false">
      <c r="A6" s="34" t="n">
        <v>1125</v>
      </c>
      <c r="B6" s="34" t="s">
        <v>1210</v>
      </c>
      <c r="C6" s="34" t="s">
        <v>1229</v>
      </c>
      <c r="D6" s="34" t="s">
        <v>1230</v>
      </c>
      <c r="E6" s="34" t="s">
        <v>1231</v>
      </c>
      <c r="F6" s="34" t="s">
        <v>1232</v>
      </c>
      <c r="G6" s="34" t="s">
        <v>1233</v>
      </c>
      <c r="H6" s="34" t="s">
        <v>60</v>
      </c>
    </row>
    <row r="7" customFormat="false" ht="15.75" hidden="false" customHeight="false" outlineLevel="0" collapsed="false">
      <c r="A7" s="34" t="n">
        <v>1342</v>
      </c>
      <c r="B7" s="34" t="s">
        <v>1210</v>
      </c>
      <c r="C7" s="34" t="s">
        <v>1234</v>
      </c>
      <c r="D7" s="34" t="s">
        <v>1235</v>
      </c>
      <c r="E7" s="34" t="s">
        <v>1236</v>
      </c>
      <c r="F7" s="34" t="s">
        <v>1237</v>
      </c>
      <c r="G7" s="34" t="s">
        <v>1238</v>
      </c>
      <c r="H7" s="34" t="s">
        <v>60</v>
      </c>
    </row>
    <row r="8" customFormat="false" ht="15.75" hidden="false" customHeight="false" outlineLevel="0" collapsed="false">
      <c r="A8" s="34" t="n">
        <v>1454</v>
      </c>
      <c r="B8" s="34" t="s">
        <v>1210</v>
      </c>
      <c r="C8" s="34" t="s">
        <v>1239</v>
      </c>
      <c r="D8" s="34" t="s">
        <v>1240</v>
      </c>
      <c r="E8" s="34" t="s">
        <v>1241</v>
      </c>
      <c r="F8" s="34" t="s">
        <v>1242</v>
      </c>
      <c r="G8" s="34" t="s">
        <v>1243</v>
      </c>
      <c r="H8" s="34" t="s">
        <v>60</v>
      </c>
    </row>
    <row r="9" customFormat="false" ht="15.75" hidden="false" customHeight="false" outlineLevel="0" collapsed="false">
      <c r="A9" s="34" t="n">
        <v>1455</v>
      </c>
      <c r="B9" s="34" t="s">
        <v>1210</v>
      </c>
      <c r="C9" s="34" t="s">
        <v>1244</v>
      </c>
      <c r="D9" s="34" t="s">
        <v>1245</v>
      </c>
      <c r="E9" s="34" t="s">
        <v>1246</v>
      </c>
      <c r="F9" s="34" t="s">
        <v>1247</v>
      </c>
      <c r="G9" s="34" t="s">
        <v>1248</v>
      </c>
      <c r="H9" s="34" t="s">
        <v>60</v>
      </c>
    </row>
    <row r="10" customFormat="false" ht="15.75" hidden="false" customHeight="false" outlineLevel="0" collapsed="false">
      <c r="A10" s="34" t="n">
        <v>1456</v>
      </c>
      <c r="B10" s="34" t="s">
        <v>1210</v>
      </c>
      <c r="C10" s="34" t="s">
        <v>1249</v>
      </c>
      <c r="D10" s="34" t="s">
        <v>1250</v>
      </c>
      <c r="E10" s="34" t="s">
        <v>1251</v>
      </c>
      <c r="F10" s="34" t="s">
        <v>1252</v>
      </c>
      <c r="G10" s="34" t="s">
        <v>1253</v>
      </c>
      <c r="H10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0" t="s">
        <v>1215</v>
      </c>
    </row>
    <row r="2" customFormat="false" ht="15.75" hidden="false" customHeight="false" outlineLevel="0" collapsed="false">
      <c r="A2" s="31" t="s">
        <v>1254</v>
      </c>
    </row>
    <row r="3" customFormat="false" ht="15.75" hidden="false" customHeight="false" outlineLevel="0" collapsed="false">
      <c r="A3" s="30" t="s">
        <v>1255</v>
      </c>
    </row>
    <row r="4" customFormat="false" ht="15.75" hidden="false" customHeight="false" outlineLevel="0" collapsed="false">
      <c r="A4" s="31" t="s">
        <v>1256</v>
      </c>
    </row>
    <row r="5" customFormat="false" ht="15.75" hidden="false" customHeight="false" outlineLevel="0" collapsed="false">
      <c r="A5" s="30" t="s">
        <v>1257</v>
      </c>
    </row>
    <row r="6" customFormat="false" ht="15.75" hidden="false" customHeight="false" outlineLevel="0" collapsed="false">
      <c r="A6" s="31" t="s">
        <v>1258</v>
      </c>
    </row>
    <row r="7" customFormat="false" ht="15.75" hidden="false" customHeight="false" outlineLevel="0" collapsed="false">
      <c r="A7" s="30" t="s">
        <v>1259</v>
      </c>
    </row>
    <row r="8" customFormat="false" ht="15.75" hidden="false" customHeight="false" outlineLevel="0" collapsed="false">
      <c r="A8" s="31" t="s">
        <v>1260</v>
      </c>
    </row>
    <row r="9" customFormat="false" ht="15.75" hidden="false" customHeight="false" outlineLevel="0" collapsed="false">
      <c r="A9" s="32" t="s">
        <v>813</v>
      </c>
    </row>
    <row r="10" customFormat="false" ht="15.75" hidden="false" customHeight="false" outlineLevel="0" collapsed="false">
      <c r="A10" s="30" t="s">
        <v>1261</v>
      </c>
    </row>
    <row r="11" customFormat="false" ht="15.75" hidden="false" customHeight="false" outlineLevel="0" collapsed="false">
      <c r="A11" s="31" t="s">
        <v>1262</v>
      </c>
    </row>
    <row r="12" customFormat="false" ht="15.75" hidden="false" customHeight="false" outlineLevel="0" collapsed="false">
      <c r="A12" s="30" t="s">
        <v>1263</v>
      </c>
    </row>
    <row r="13" customFormat="false" ht="15.75" hidden="false" customHeight="false" outlineLevel="0" collapsed="false">
      <c r="A13" s="31" t="s">
        <v>1264</v>
      </c>
    </row>
    <row r="14" customFormat="false" ht="15.75" hidden="false" customHeight="false" outlineLevel="0" collapsed="false">
      <c r="A14" s="30" t="s">
        <v>1265</v>
      </c>
    </row>
    <row r="15" customFormat="false" ht="15.75" hidden="false" customHeight="false" outlineLevel="0" collapsed="false">
      <c r="A15" s="31" t="s">
        <v>1266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1267</v>
      </c>
      <c r="B2" s="34" t="s">
        <v>1268</v>
      </c>
      <c r="C2" s="34" t="s">
        <v>1269</v>
      </c>
      <c r="D2" s="34" t="s">
        <v>1270</v>
      </c>
      <c r="E2" s="34" t="s">
        <v>1271</v>
      </c>
      <c r="F2" s="34" t="s">
        <v>1272</v>
      </c>
      <c r="G2" s="34" t="s">
        <v>1273</v>
      </c>
      <c r="H2" s="34" t="s">
        <v>60</v>
      </c>
    </row>
    <row r="3" customFormat="false" ht="15.75" hidden="false" customHeight="false" outlineLevel="0" collapsed="false">
      <c r="A3" s="34" t="s">
        <v>1274</v>
      </c>
      <c r="B3" s="34" t="s">
        <v>1268</v>
      </c>
      <c r="C3" s="34" t="s">
        <v>1275</v>
      </c>
      <c r="D3" s="34" t="s">
        <v>1276</v>
      </c>
      <c r="E3" s="34" t="s">
        <v>1277</v>
      </c>
      <c r="F3" s="34" t="s">
        <v>1278</v>
      </c>
      <c r="G3" s="34" t="s">
        <v>1279</v>
      </c>
      <c r="H3" s="34" t="s">
        <v>60</v>
      </c>
    </row>
    <row r="4" customFormat="false" ht="15.75" hidden="false" customHeight="false" outlineLevel="0" collapsed="false">
      <c r="A4" s="34" t="s">
        <v>1280</v>
      </c>
      <c r="B4" s="34" t="s">
        <v>1268</v>
      </c>
      <c r="C4" s="34" t="s">
        <v>1281</v>
      </c>
      <c r="D4" s="34" t="s">
        <v>1282</v>
      </c>
      <c r="E4" s="34" t="s">
        <v>1283</v>
      </c>
      <c r="F4" s="34" t="s">
        <v>1284</v>
      </c>
      <c r="G4" s="34" t="s">
        <v>1285</v>
      </c>
      <c r="H4" s="34" t="s">
        <v>60</v>
      </c>
    </row>
    <row r="5" customFormat="false" ht="15.75" hidden="false" customHeight="false" outlineLevel="0" collapsed="false">
      <c r="A5" s="34" t="s">
        <v>1286</v>
      </c>
      <c r="B5" s="34" t="s">
        <v>1268</v>
      </c>
      <c r="C5" s="34" t="s">
        <v>1287</v>
      </c>
      <c r="D5" s="34" t="s">
        <v>1288</v>
      </c>
      <c r="E5" s="34" t="s">
        <v>1289</v>
      </c>
      <c r="F5" s="34" t="s">
        <v>1290</v>
      </c>
      <c r="G5" s="34" t="s">
        <v>1291</v>
      </c>
      <c r="H5" s="34" t="s">
        <v>60</v>
      </c>
    </row>
    <row r="6" customFormat="false" ht="15.75" hidden="false" customHeight="false" outlineLevel="0" collapsed="false">
      <c r="A6" s="34" t="s">
        <v>1292</v>
      </c>
      <c r="B6" s="34" t="s">
        <v>1268</v>
      </c>
      <c r="C6" s="34" t="s">
        <v>1293</v>
      </c>
      <c r="D6" s="34" t="s">
        <v>1294</v>
      </c>
      <c r="E6" s="34" t="s">
        <v>1295</v>
      </c>
      <c r="F6" s="34" t="s">
        <v>1296</v>
      </c>
      <c r="G6" s="34" t="s">
        <v>1297</v>
      </c>
      <c r="H6" s="34" t="s">
        <v>60</v>
      </c>
    </row>
    <row r="7" customFormat="false" ht="15.75" hidden="false" customHeight="false" outlineLevel="0" collapsed="false">
      <c r="A7" s="34" t="s">
        <v>1298</v>
      </c>
      <c r="B7" s="34" t="s">
        <v>1268</v>
      </c>
      <c r="C7" s="34" t="s">
        <v>1299</v>
      </c>
      <c r="D7" s="34" t="s">
        <v>1300</v>
      </c>
      <c r="E7" s="34" t="s">
        <v>1301</v>
      </c>
      <c r="F7" s="34" t="s">
        <v>1302</v>
      </c>
      <c r="G7" s="34" t="s">
        <v>1303</v>
      </c>
      <c r="H7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398</v>
      </c>
    </row>
    <row r="2" customFormat="false" ht="15.75" hidden="false" customHeight="false" outlineLevel="0" collapsed="false">
      <c r="A2" s="16" t="s">
        <v>115</v>
      </c>
    </row>
    <row r="3" customFormat="false" ht="15.75" hidden="false" customHeight="false" outlineLevel="0" collapsed="false">
      <c r="A3" s="16" t="s">
        <v>1269</v>
      </c>
    </row>
    <row r="4" customFormat="false" ht="15.75" hidden="false" customHeight="false" outlineLevel="0" collapsed="false">
      <c r="A4" s="17" t="n">
        <v>54259</v>
      </c>
    </row>
    <row r="5" customFormat="false" ht="15.75" hidden="false" customHeight="false" outlineLevel="0" collapsed="false">
      <c r="A5" s="16" t="s">
        <v>1275</v>
      </c>
    </row>
    <row r="6" customFormat="false" ht="15.75" hidden="false" customHeight="false" outlineLevel="0" collapsed="false">
      <c r="A6" s="17" t="n">
        <v>108518</v>
      </c>
    </row>
    <row r="7" customFormat="false" ht="15.75" hidden="false" customHeight="false" outlineLevel="0" collapsed="false">
      <c r="A7" s="16" t="s">
        <v>1304</v>
      </c>
    </row>
    <row r="8" customFormat="false" ht="15.75" hidden="false" customHeight="false" outlineLevel="0" collapsed="false">
      <c r="A8" s="17" t="n">
        <v>108518</v>
      </c>
    </row>
    <row r="9" customFormat="false" ht="15.75" hidden="false" customHeight="false" outlineLevel="0" collapsed="false">
      <c r="A9" s="16" t="s">
        <v>1305</v>
      </c>
    </row>
    <row r="10" customFormat="false" ht="15.75" hidden="false" customHeight="false" outlineLevel="0" collapsed="false">
      <c r="A10" s="17" t="n">
        <v>162777</v>
      </c>
    </row>
    <row r="11" customFormat="false" ht="15.75" hidden="false" customHeight="false" outlineLevel="0" collapsed="false">
      <c r="A11" s="16" t="s">
        <v>1281</v>
      </c>
    </row>
    <row r="12" customFormat="false" ht="15.75" hidden="false" customHeight="false" outlineLevel="0" collapsed="false">
      <c r="A12" s="17" t="n">
        <v>217034</v>
      </c>
    </row>
    <row r="13" customFormat="false" ht="15.75" hidden="false" customHeight="false" outlineLevel="0" collapsed="false">
      <c r="A13" s="16" t="s">
        <v>1306</v>
      </c>
    </row>
    <row r="14" customFormat="false" ht="15.75" hidden="false" customHeight="false" outlineLevel="0" collapsed="false">
      <c r="A14" s="17" t="n">
        <v>217035</v>
      </c>
    </row>
    <row r="15" customFormat="false" ht="15.75" hidden="false" customHeight="false" outlineLevel="0" collapsed="false">
      <c r="A15" s="16" t="s">
        <v>1307</v>
      </c>
    </row>
    <row r="16" customFormat="false" ht="15.75" hidden="false" customHeight="false" outlineLevel="0" collapsed="false">
      <c r="A16" s="17" t="n">
        <v>271293</v>
      </c>
    </row>
    <row r="17" customFormat="false" ht="15.75" hidden="false" customHeight="false" outlineLevel="0" collapsed="false">
      <c r="A17" s="16" t="s">
        <v>1308</v>
      </c>
    </row>
    <row r="18" customFormat="false" ht="15.75" hidden="false" customHeight="false" outlineLevel="0" collapsed="false">
      <c r="A18" s="17" t="n">
        <v>325552</v>
      </c>
    </row>
    <row r="19" customFormat="false" ht="15.75" hidden="false" customHeight="false" outlineLevel="0" collapsed="false">
      <c r="A19" s="16" t="s">
        <v>1287</v>
      </c>
    </row>
    <row r="20" customFormat="false" ht="15.75" hidden="false" customHeight="false" outlineLevel="0" collapsed="false">
      <c r="A20" s="17" t="n">
        <v>376902</v>
      </c>
    </row>
    <row r="21" customFormat="false" ht="15.75" hidden="false" customHeight="false" outlineLevel="0" collapsed="false">
      <c r="A21" s="16" t="s">
        <v>1309</v>
      </c>
    </row>
    <row r="22" customFormat="false" ht="15.75" hidden="false" customHeight="false" outlineLevel="0" collapsed="false">
      <c r="A22" s="17" t="n">
        <v>431161</v>
      </c>
    </row>
    <row r="23" customFormat="false" ht="15.75" hidden="false" customHeight="false" outlineLevel="0" collapsed="false">
      <c r="A23" s="16" t="s">
        <v>1310</v>
      </c>
    </row>
    <row r="24" customFormat="false" ht="15.75" hidden="false" customHeight="false" outlineLevel="0" collapsed="false">
      <c r="A24" s="17" t="n">
        <v>434068</v>
      </c>
    </row>
    <row r="25" customFormat="false" ht="15.75" hidden="false" customHeight="false" outlineLevel="0" collapsed="false">
      <c r="A25" s="16" t="s">
        <v>1311</v>
      </c>
    </row>
    <row r="26" customFormat="false" ht="15.75" hidden="false" customHeight="false" outlineLevel="0" collapsed="false">
      <c r="A26" s="17" t="n">
        <v>485420</v>
      </c>
    </row>
    <row r="27" customFormat="false" ht="15.75" hidden="false" customHeight="false" outlineLevel="0" collapsed="false">
      <c r="A27" s="16" t="s">
        <v>1293</v>
      </c>
    </row>
    <row r="28" customFormat="false" ht="15.75" hidden="false" customHeight="false" outlineLevel="0" collapsed="false">
      <c r="A28" s="17" t="n">
        <v>541615</v>
      </c>
    </row>
    <row r="29" customFormat="false" ht="15.75" hidden="false" customHeight="false" outlineLevel="0" collapsed="false">
      <c r="A29" s="16" t="s">
        <v>1312</v>
      </c>
    </row>
    <row r="30" customFormat="false" ht="15.75" hidden="false" customHeight="false" outlineLevel="0" collapsed="false">
      <c r="A30" s="17" t="n">
        <v>593936</v>
      </c>
    </row>
    <row r="31" customFormat="false" ht="15.75" hidden="false" customHeight="false" outlineLevel="0" collapsed="false">
      <c r="A31" s="16" t="s">
        <v>1313</v>
      </c>
    </row>
    <row r="32" customFormat="false" ht="15.75" hidden="false" customHeight="false" outlineLevel="0" collapsed="false">
      <c r="A32" s="17" t="n">
        <v>595873</v>
      </c>
    </row>
    <row r="33" customFormat="false" ht="15.75" hidden="false" customHeight="false" outlineLevel="0" collapsed="false">
      <c r="A33" s="16" t="s">
        <v>1314</v>
      </c>
    </row>
    <row r="34" customFormat="false" ht="15.75" hidden="false" customHeight="false" outlineLevel="0" collapsed="false">
      <c r="A34" s="17" t="n">
        <v>650132</v>
      </c>
    </row>
    <row r="35" customFormat="false" ht="15.75" hidden="false" customHeight="false" outlineLevel="0" collapsed="false">
      <c r="A35" s="16" t="s">
        <v>1315</v>
      </c>
    </row>
    <row r="36" customFormat="false" ht="15.75" hidden="false" customHeight="false" outlineLevel="0" collapsed="false">
      <c r="A36" s="17" t="n">
        <v>753804</v>
      </c>
    </row>
    <row r="37" customFormat="false" ht="15.75" hidden="false" customHeight="false" outlineLevel="0" collapsed="false">
      <c r="A37" s="16" t="s">
        <v>1316</v>
      </c>
    </row>
    <row r="38" customFormat="false" ht="15.75" hidden="false" customHeight="false" outlineLevel="0" collapsed="false">
      <c r="A38" s="17" t="n">
        <v>758649</v>
      </c>
    </row>
    <row r="39" customFormat="false" ht="15.75" hidden="false" customHeight="false" outlineLevel="0" collapsed="false">
      <c r="A39" s="16" t="s">
        <v>1317</v>
      </c>
    </row>
    <row r="40" customFormat="false" ht="15.75" hidden="false" customHeight="false" outlineLevel="0" collapsed="false">
      <c r="A40" s="17" t="n">
        <v>867166</v>
      </c>
    </row>
    <row r="41" customFormat="false" ht="15.75" hidden="false" customHeight="false" outlineLevel="0" collapsed="false">
      <c r="A41" s="16" t="s">
        <v>1318</v>
      </c>
    </row>
    <row r="42" customFormat="false" ht="15.75" hidden="false" customHeight="false" outlineLevel="0" collapsed="false">
      <c r="A42" s="17" t="n">
        <v>918516</v>
      </c>
    </row>
    <row r="43" customFormat="false" ht="15.75" hidden="false" customHeight="false" outlineLevel="0" collapsed="false">
      <c r="A43" s="16" t="s">
        <v>1319</v>
      </c>
    </row>
    <row r="44" customFormat="false" ht="15.75" hidden="false" customHeight="false" outlineLevel="0" collapsed="false">
      <c r="A44" s="17" t="n">
        <v>918516</v>
      </c>
    </row>
    <row r="45" customFormat="false" ht="15.75" hidden="false" customHeight="false" outlineLevel="0" collapsed="false">
      <c r="A45" s="16" t="s">
        <v>1320</v>
      </c>
    </row>
    <row r="46" customFormat="false" ht="15.75" hidden="false" customHeight="false" outlineLevel="0" collapsed="false">
      <c r="A46" s="17" t="n">
        <v>1027034</v>
      </c>
    </row>
    <row r="47" customFormat="false" ht="15.75" hidden="false" customHeight="false" outlineLevel="0" collapsed="false">
      <c r="A47" s="16" t="s">
        <v>1299</v>
      </c>
    </row>
    <row r="48" customFormat="false" ht="15.75" hidden="false" customHeight="false" outlineLevel="0" collapsed="false">
      <c r="A48" s="17" t="n">
        <v>1064820</v>
      </c>
    </row>
    <row r="49" customFormat="false" ht="15.75" hidden="false" customHeight="false" outlineLevel="0" collapsed="false">
      <c r="A49" s="16" t="s">
        <v>1321</v>
      </c>
    </row>
    <row r="50" customFormat="false" ht="15.75" hidden="false" customHeight="false" outlineLevel="0" collapsed="false">
      <c r="A50" s="17" t="n">
        <v>1083229</v>
      </c>
    </row>
    <row r="51" customFormat="false" ht="15.75" hidden="false" customHeight="false" outlineLevel="0" collapsed="false">
      <c r="A51" s="16" t="s">
        <v>1322</v>
      </c>
    </row>
    <row r="52" customFormat="false" ht="15.75" hidden="false" customHeight="false" outlineLevel="0" collapsed="false">
      <c r="A52" s="17" t="n">
        <v>1119079</v>
      </c>
    </row>
    <row r="53" customFormat="false" ht="15.75" hidden="false" customHeight="false" outlineLevel="0" collapsed="false">
      <c r="A53" s="16" t="s">
        <v>1323</v>
      </c>
    </row>
    <row r="54" customFormat="false" ht="15.75" hidden="false" customHeight="false" outlineLevel="0" collapsed="false">
      <c r="A54" s="17" t="n">
        <v>1173338</v>
      </c>
    </row>
    <row r="55" customFormat="false" ht="15.75" hidden="false" customHeight="false" outlineLevel="0" collapsed="false">
      <c r="A55" s="16" t="s">
        <v>1324</v>
      </c>
    </row>
    <row r="56" customFormat="false" ht="15.75" hidden="false" customHeight="false" outlineLevel="0" collapsed="false">
      <c r="A56" s="17" t="n">
        <v>1281854</v>
      </c>
    </row>
    <row r="57" customFormat="false" ht="15.75" hidden="false" customHeight="false" outlineLevel="0" collapsed="false">
      <c r="A57" s="16" t="s">
        <v>1325</v>
      </c>
    </row>
    <row r="58" customFormat="false" ht="15.75" hidden="false" customHeight="false" outlineLevel="0" collapsed="false">
      <c r="A58" s="17" t="n">
        <v>1441722</v>
      </c>
    </row>
    <row r="59" customFormat="false" ht="15.75" hidden="false" customHeight="false" outlineLevel="0" collapsed="false">
      <c r="A59" s="16" t="s">
        <v>1326</v>
      </c>
    </row>
    <row r="60" customFormat="false" ht="15.75" hidden="false" customHeight="false" outlineLevel="0" collapsed="false">
      <c r="A60" s="17" t="n">
        <v>1658756</v>
      </c>
    </row>
    <row r="61" customFormat="false" ht="15.75" hidden="false" customHeight="false" outlineLevel="0" collapsed="false">
      <c r="A61" s="16" t="s">
        <v>1327</v>
      </c>
    </row>
    <row r="62" customFormat="false" ht="15.75" hidden="false" customHeight="false" outlineLevel="0" collapsed="false">
      <c r="A62" s="17" t="n">
        <v>1823468</v>
      </c>
    </row>
    <row r="63" customFormat="false" ht="15.75" hidden="false" customHeight="false" outlineLevel="0" collapsed="false">
      <c r="A63" s="16" t="s">
        <v>1328</v>
      </c>
    </row>
    <row r="64" customFormat="false" ht="15.75" hidden="false" customHeight="false" outlineLevel="0" collapsed="false">
      <c r="A64" s="17" t="n">
        <v>1983336</v>
      </c>
    </row>
    <row r="65" customFormat="false" ht="15.75" hidden="false" customHeight="false" outlineLevel="0" collapsed="false">
      <c r="A65" s="16" t="s">
        <v>1329</v>
      </c>
    </row>
    <row r="66" customFormat="false" ht="15.75" hidden="false" customHeight="false" outlineLevel="0" collapsed="false">
      <c r="A66" s="17" t="n">
        <v>2129640</v>
      </c>
    </row>
    <row r="67" customFormat="false" ht="15.75" hidden="false" customHeight="false" outlineLevel="0" collapsed="false">
      <c r="A67" s="18" t="s">
        <v>405</v>
      </c>
    </row>
    <row r="68" customFormat="false" ht="15.75" hidden="false" customHeight="false" outlineLevel="0" collapsed="false">
      <c r="A68" s="15" t="s">
        <v>405</v>
      </c>
    </row>
    <row r="69" customFormat="false" ht="15.75" hidden="false" customHeight="false" outlineLevel="0" collapsed="false">
      <c r="A69" s="16" t="s">
        <v>1330</v>
      </c>
    </row>
    <row r="70" customFormat="false" ht="15.75" hidden="false" customHeight="false" outlineLevel="0" collapsed="false">
      <c r="A70" s="17" t="n">
        <v>77823</v>
      </c>
    </row>
    <row r="71" customFormat="false" ht="15.75" hidden="false" customHeight="false" outlineLevel="0" collapsed="false">
      <c r="A71" s="16" t="s">
        <v>1331</v>
      </c>
    </row>
    <row r="72" customFormat="false" ht="15.75" hidden="false" customHeight="false" outlineLevel="0" collapsed="false">
      <c r="A72" s="17" t="n">
        <v>160166</v>
      </c>
    </row>
    <row r="73" customFormat="false" ht="15.75" hidden="false" customHeight="false" outlineLevel="0" collapsed="false">
      <c r="A73" s="16" t="s">
        <v>1332</v>
      </c>
    </row>
    <row r="74" customFormat="false" ht="15.75" hidden="false" customHeight="false" outlineLevel="0" collapsed="false">
      <c r="A74" s="17" t="n">
        <v>312499</v>
      </c>
    </row>
    <row r="75" customFormat="false" ht="15.75" hidden="false" customHeight="false" outlineLevel="0" collapsed="false">
      <c r="A75" s="16" t="s">
        <v>1333</v>
      </c>
    </row>
    <row r="76" customFormat="false" ht="15.75" hidden="false" customHeight="false" outlineLevel="0" collapsed="false">
      <c r="A76" s="17" t="n">
        <v>545520</v>
      </c>
    </row>
    <row r="77" customFormat="false" ht="15.75" hidden="false" customHeight="false" outlineLevel="0" collapsed="false">
      <c r="A77" s="16" t="s">
        <v>1334</v>
      </c>
    </row>
    <row r="78" customFormat="false" ht="15.75" hidden="false" customHeight="false" outlineLevel="0" collapsed="false">
      <c r="A78" s="17" t="n">
        <v>778137</v>
      </c>
    </row>
    <row r="79" customFormat="false" ht="15.75" hidden="false" customHeight="false" outlineLevel="0" collapsed="false">
      <c r="A79" s="16" t="s">
        <v>1335</v>
      </c>
    </row>
    <row r="80" customFormat="false" ht="15.75" hidden="false" customHeight="false" outlineLevel="0" collapsed="false">
      <c r="A80" s="17" t="n">
        <v>1559988</v>
      </c>
    </row>
    <row r="81" customFormat="false" ht="15.75" hidden="false" customHeight="false" outlineLevel="0" collapsed="false">
      <c r="A81" s="18" t="s">
        <v>1336</v>
      </c>
    </row>
    <row r="82" customFormat="false" ht="15.75" hidden="false" customHeight="false" outlineLevel="0" collapsed="false">
      <c r="A82" s="15" t="s">
        <v>1336</v>
      </c>
    </row>
    <row r="83" customFormat="false" ht="15.75" hidden="false" customHeight="false" outlineLevel="0" collapsed="false">
      <c r="A83" s="16" t="s">
        <v>1330</v>
      </c>
    </row>
    <row r="84" customFormat="false" ht="15.75" hidden="false" customHeight="false" outlineLevel="0" collapsed="false">
      <c r="A84" s="17" t="n">
        <v>73549</v>
      </c>
    </row>
    <row r="85" customFormat="false" ht="15.75" hidden="false" customHeight="false" outlineLevel="0" collapsed="false">
      <c r="A85" s="16" t="s">
        <v>1331</v>
      </c>
    </row>
    <row r="86" customFormat="false" ht="15.75" hidden="false" customHeight="false" outlineLevel="0" collapsed="false">
      <c r="A86" s="17" t="n">
        <v>147143</v>
      </c>
    </row>
    <row r="87" customFormat="false" ht="15.75" hidden="false" customHeight="false" outlineLevel="0" collapsed="false">
      <c r="A87" s="16" t="s">
        <v>1333</v>
      </c>
    </row>
    <row r="88" customFormat="false" ht="15.75" hidden="false" customHeight="false" outlineLevel="0" collapsed="false">
      <c r="A88" s="17" t="n">
        <v>520563</v>
      </c>
    </row>
    <row r="89" customFormat="false" ht="15.75" hidden="false" customHeight="false" outlineLevel="0" collapsed="false">
      <c r="A89" s="16" t="s">
        <v>1334</v>
      </c>
    </row>
    <row r="90" customFormat="false" ht="15.75" hidden="false" customHeight="false" outlineLevel="0" collapsed="false">
      <c r="A90" s="17" t="n">
        <v>746840</v>
      </c>
    </row>
    <row r="91" customFormat="false" ht="15.75" hidden="false" customHeight="false" outlineLevel="0" collapsed="false">
      <c r="A91" s="16" t="s">
        <v>1335</v>
      </c>
    </row>
    <row r="92" customFormat="false" ht="15.75" hidden="false" customHeight="false" outlineLevel="0" collapsed="false">
      <c r="A92" s="17" t="n">
        <v>1493679</v>
      </c>
    </row>
    <row r="93" customFormat="false" ht="15.75" hidden="false" customHeight="false" outlineLevel="0" collapsed="false">
      <c r="A93" s="18" t="s">
        <v>407</v>
      </c>
    </row>
    <row r="94" customFormat="false" ht="15.75" hidden="false" customHeight="false" outlineLevel="0" collapsed="false">
      <c r="A94" s="15" t="s">
        <v>407</v>
      </c>
    </row>
    <row r="95" customFormat="false" ht="15.75" hidden="false" customHeight="false" outlineLevel="0" collapsed="false">
      <c r="A95" s="16" t="s">
        <v>1330</v>
      </c>
    </row>
    <row r="96" customFormat="false" ht="15.75" hidden="false" customHeight="false" outlineLevel="0" collapsed="false">
      <c r="A96" s="17" t="n">
        <v>93805</v>
      </c>
    </row>
    <row r="97" customFormat="false" ht="15.75" hidden="false" customHeight="false" outlineLevel="0" collapsed="false">
      <c r="A97" s="16" t="s">
        <v>1331</v>
      </c>
    </row>
    <row r="98" customFormat="false" ht="15.75" hidden="false" customHeight="false" outlineLevel="0" collapsed="false">
      <c r="A98" s="17" t="n">
        <v>187902</v>
      </c>
    </row>
    <row r="99" customFormat="false" ht="15.75" hidden="false" customHeight="false" outlineLevel="0" collapsed="false">
      <c r="A99" s="16" t="s">
        <v>1332</v>
      </c>
    </row>
    <row r="100" customFormat="false" ht="15.75" hidden="false" customHeight="false" outlineLevel="0" collapsed="false">
      <c r="A100" s="17" t="n">
        <v>362653</v>
      </c>
    </row>
    <row r="101" customFormat="false" ht="15.75" hidden="false" customHeight="false" outlineLevel="0" collapsed="false">
      <c r="A101" s="16" t="s">
        <v>1333</v>
      </c>
    </row>
    <row r="102" customFormat="false" ht="15.75" hidden="false" customHeight="false" outlineLevel="0" collapsed="false">
      <c r="A102" s="17" t="n">
        <v>631500</v>
      </c>
    </row>
    <row r="103" customFormat="false" ht="15.75" hidden="false" customHeight="false" outlineLevel="0" collapsed="false">
      <c r="A103" s="16" t="s">
        <v>1334</v>
      </c>
    </row>
    <row r="104" customFormat="false" ht="15.75" hidden="false" customHeight="false" outlineLevel="0" collapsed="false">
      <c r="A104" s="17" t="n">
        <v>900348</v>
      </c>
    </row>
    <row r="105" customFormat="false" ht="15.75" hidden="false" customHeight="false" outlineLevel="0" collapsed="false">
      <c r="A105" s="16" t="s">
        <v>1335</v>
      </c>
    </row>
    <row r="106" customFormat="false" ht="15.75" hidden="false" customHeight="false" outlineLevel="0" collapsed="false">
      <c r="A106" s="17" t="n">
        <v>1814429</v>
      </c>
    </row>
    <row r="107" customFormat="false" ht="15.75" hidden="false" customHeight="false" outlineLevel="0" collapsed="false">
      <c r="A107" s="18" t="s">
        <v>1337</v>
      </c>
    </row>
    <row r="108" customFormat="false" ht="15.75" hidden="false" customHeight="false" outlineLevel="0" collapsed="false">
      <c r="A108" s="15" t="s">
        <v>1337</v>
      </c>
    </row>
    <row r="109" customFormat="false" ht="15.75" hidden="false" customHeight="false" outlineLevel="0" collapsed="false">
      <c r="A109" s="16" t="s">
        <v>1330</v>
      </c>
    </row>
    <row r="110" customFormat="false" ht="15.75" hidden="false" customHeight="false" outlineLevel="0" collapsed="false">
      <c r="A110" s="17" t="n">
        <v>56941</v>
      </c>
    </row>
    <row r="111" customFormat="false" ht="15.75" hidden="false" customHeight="false" outlineLevel="0" collapsed="false">
      <c r="A111" s="16" t="s">
        <v>1331</v>
      </c>
    </row>
    <row r="112" customFormat="false" ht="15.75" hidden="false" customHeight="false" outlineLevel="0" collapsed="false">
      <c r="A112" s="17" t="n">
        <v>114167</v>
      </c>
    </row>
    <row r="113" customFormat="false" ht="15.75" hidden="false" customHeight="false" outlineLevel="0" collapsed="false">
      <c r="A113" s="16" t="s">
        <v>1332</v>
      </c>
    </row>
    <row r="114" customFormat="false" ht="15.75" hidden="false" customHeight="false" outlineLevel="0" collapsed="false">
      <c r="A114" s="17" t="n">
        <v>228618</v>
      </c>
    </row>
    <row r="115" customFormat="false" ht="15.75" hidden="false" customHeight="false" outlineLevel="0" collapsed="false">
      <c r="A115" s="16" t="s">
        <v>1333</v>
      </c>
    </row>
    <row r="116" customFormat="false" ht="15.75" hidden="false" customHeight="false" outlineLevel="0" collapsed="false">
      <c r="A116" s="17" t="n">
        <v>400296</v>
      </c>
    </row>
    <row r="117" customFormat="false" ht="15.75" hidden="false" customHeight="false" outlineLevel="0" collapsed="false">
      <c r="A117" s="16" t="s">
        <v>1334</v>
      </c>
    </row>
    <row r="118" customFormat="false" ht="15.75" hidden="false" customHeight="false" outlineLevel="0" collapsed="false">
      <c r="A118" s="17" t="n">
        <v>571973</v>
      </c>
    </row>
    <row r="119" customFormat="false" ht="15.75" hidden="false" customHeight="false" outlineLevel="0" collapsed="false">
      <c r="A119" s="16" t="s">
        <v>1335</v>
      </c>
    </row>
    <row r="120" customFormat="false" ht="15.75" hidden="false" customHeight="false" outlineLevel="0" collapsed="false">
      <c r="A120" s="17" t="n">
        <v>1144232</v>
      </c>
    </row>
    <row r="121" customFormat="false" ht="15.75" hidden="false" customHeight="false" outlineLevel="0" collapsed="false">
      <c r="A121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1338</v>
      </c>
      <c r="B2" s="34" t="s">
        <v>1339</v>
      </c>
      <c r="C2" s="34" t="s">
        <v>1340</v>
      </c>
      <c r="D2" s="34" t="s">
        <v>1341</v>
      </c>
      <c r="E2" s="34" t="s">
        <v>1342</v>
      </c>
      <c r="F2" s="34" t="s">
        <v>1343</v>
      </c>
      <c r="G2" s="34" t="s">
        <v>1344</v>
      </c>
      <c r="H2" s="34" t="s">
        <v>60</v>
      </c>
    </row>
    <row r="3" customFormat="false" ht="15.75" hidden="false" customHeight="false" outlineLevel="0" collapsed="false">
      <c r="A3" s="34" t="s">
        <v>1345</v>
      </c>
      <c r="B3" s="34" t="s">
        <v>1339</v>
      </c>
      <c r="C3" s="34" t="s">
        <v>1346</v>
      </c>
      <c r="D3" s="34" t="s">
        <v>1347</v>
      </c>
      <c r="E3" s="34" t="s">
        <v>1348</v>
      </c>
      <c r="F3" s="34" t="s">
        <v>1349</v>
      </c>
      <c r="G3" s="34" t="s">
        <v>1350</v>
      </c>
      <c r="H3" s="34" t="s">
        <v>60</v>
      </c>
    </row>
    <row r="4" customFormat="false" ht="15.75" hidden="false" customHeight="false" outlineLevel="0" collapsed="false">
      <c r="A4" s="34" t="s">
        <v>1351</v>
      </c>
      <c r="B4" s="34" t="s">
        <v>1339</v>
      </c>
      <c r="C4" s="34" t="s">
        <v>1340</v>
      </c>
      <c r="D4" s="34" t="s">
        <v>1352</v>
      </c>
      <c r="E4" s="34" t="s">
        <v>1353</v>
      </c>
      <c r="F4" s="34" t="s">
        <v>1354</v>
      </c>
      <c r="G4" s="34" t="s">
        <v>1355</v>
      </c>
      <c r="H4" s="34" t="s">
        <v>60</v>
      </c>
    </row>
    <row r="5" customFormat="false" ht="15.75" hidden="false" customHeight="false" outlineLevel="0" collapsed="false">
      <c r="A5" s="34" t="s">
        <v>1356</v>
      </c>
      <c r="B5" s="34" t="s">
        <v>1339</v>
      </c>
      <c r="C5" s="34" t="s">
        <v>1346</v>
      </c>
      <c r="D5" s="34" t="s">
        <v>1357</v>
      </c>
      <c r="E5" s="34" t="s">
        <v>1358</v>
      </c>
      <c r="F5" s="34" t="s">
        <v>1359</v>
      </c>
      <c r="G5" s="34" t="s">
        <v>1360</v>
      </c>
      <c r="H5" s="34" t="s">
        <v>60</v>
      </c>
    </row>
    <row r="6" customFormat="false" ht="15.75" hidden="false" customHeight="false" outlineLevel="0" collapsed="false">
      <c r="A6" s="34" t="s">
        <v>1361</v>
      </c>
      <c r="B6" s="34" t="s">
        <v>1339</v>
      </c>
      <c r="C6" s="34" t="s">
        <v>1362</v>
      </c>
      <c r="D6" s="34" t="s">
        <v>1363</v>
      </c>
      <c r="E6" s="34" t="s">
        <v>1364</v>
      </c>
      <c r="F6" s="34" t="s">
        <v>1365</v>
      </c>
      <c r="G6" s="34" t="s">
        <v>1366</v>
      </c>
      <c r="H6" s="34" t="s">
        <v>60</v>
      </c>
    </row>
    <row r="7" customFormat="false" ht="15.75" hidden="false" customHeight="false" outlineLevel="0" collapsed="false">
      <c r="A7" s="34" t="s">
        <v>1367</v>
      </c>
      <c r="B7" s="34" t="s">
        <v>1339</v>
      </c>
      <c r="C7" s="34" t="s">
        <v>1362</v>
      </c>
      <c r="D7" s="34" t="s">
        <v>1368</v>
      </c>
      <c r="E7" s="34" t="s">
        <v>1369</v>
      </c>
      <c r="F7" s="34" t="s">
        <v>1370</v>
      </c>
      <c r="G7" s="34" t="s">
        <v>1371</v>
      </c>
      <c r="H7" s="34" t="s">
        <v>60</v>
      </c>
    </row>
    <row r="8" customFormat="false" ht="15.75" hidden="false" customHeight="false" outlineLevel="0" collapsed="false">
      <c r="A8" s="34" t="s">
        <v>1372</v>
      </c>
      <c r="B8" s="34" t="s">
        <v>1339</v>
      </c>
      <c r="C8" s="34" t="s">
        <v>1373</v>
      </c>
      <c r="D8" s="34" t="s">
        <v>1374</v>
      </c>
      <c r="E8" s="34" t="s">
        <v>1375</v>
      </c>
      <c r="F8" s="34" t="s">
        <v>1376</v>
      </c>
      <c r="G8" s="34" t="s">
        <v>1377</v>
      </c>
      <c r="H8" s="34" t="s">
        <v>60</v>
      </c>
    </row>
    <row r="9" customFormat="false" ht="15.75" hidden="false" customHeight="false" outlineLevel="0" collapsed="false">
      <c r="A9" s="34" t="s">
        <v>1378</v>
      </c>
      <c r="B9" s="34" t="s">
        <v>1339</v>
      </c>
      <c r="C9" s="34" t="s">
        <v>1373</v>
      </c>
      <c r="D9" s="34" t="s">
        <v>1379</v>
      </c>
      <c r="E9" s="34" t="s">
        <v>1380</v>
      </c>
      <c r="F9" s="34" t="s">
        <v>1381</v>
      </c>
      <c r="G9" s="34" t="s">
        <v>1382</v>
      </c>
      <c r="H9" s="34" t="s">
        <v>60</v>
      </c>
    </row>
    <row r="10" customFormat="false" ht="15.75" hidden="false" customHeight="false" outlineLevel="0" collapsed="false">
      <c r="A10" s="34" t="s">
        <v>1383</v>
      </c>
      <c r="B10" s="34" t="s">
        <v>1339</v>
      </c>
      <c r="C10" s="34" t="s">
        <v>1384</v>
      </c>
      <c r="D10" s="34" t="s">
        <v>1385</v>
      </c>
      <c r="E10" s="34" t="s">
        <v>1386</v>
      </c>
      <c r="F10" s="34" t="s">
        <v>1387</v>
      </c>
      <c r="G10" s="34" t="s">
        <v>1388</v>
      </c>
      <c r="H10" s="34" t="s">
        <v>60</v>
      </c>
    </row>
    <row r="11" customFormat="false" ht="15.75" hidden="false" customHeight="false" outlineLevel="0" collapsed="false">
      <c r="A11" s="34" t="s">
        <v>1389</v>
      </c>
      <c r="B11" s="34" t="s">
        <v>1339</v>
      </c>
      <c r="C11" s="34" t="s">
        <v>1384</v>
      </c>
      <c r="D11" s="34" t="s">
        <v>1390</v>
      </c>
      <c r="E11" s="34" t="s">
        <v>1391</v>
      </c>
      <c r="F11" s="34" t="s">
        <v>1392</v>
      </c>
      <c r="G11" s="34" t="s">
        <v>1393</v>
      </c>
      <c r="H11" s="34" t="s">
        <v>60</v>
      </c>
    </row>
    <row r="12" customFormat="false" ht="15.75" hidden="false" customHeight="false" outlineLevel="0" collapsed="false">
      <c r="A12" s="34" t="s">
        <v>1394</v>
      </c>
      <c r="B12" s="34" t="s">
        <v>1339</v>
      </c>
      <c r="C12" s="34" t="s">
        <v>1395</v>
      </c>
      <c r="D12" s="34" t="s">
        <v>1396</v>
      </c>
      <c r="E12" s="34" t="s">
        <v>1397</v>
      </c>
      <c r="F12" s="34" t="s">
        <v>1398</v>
      </c>
      <c r="G12" s="34" t="s">
        <v>1399</v>
      </c>
      <c r="H12" s="34" t="s">
        <v>60</v>
      </c>
    </row>
    <row r="13" customFormat="false" ht="15.75" hidden="false" customHeight="false" outlineLevel="0" collapsed="false">
      <c r="A13" s="34" t="s">
        <v>1400</v>
      </c>
      <c r="B13" s="34" t="s">
        <v>1339</v>
      </c>
      <c r="C13" s="34" t="s">
        <v>1395</v>
      </c>
      <c r="D13" s="34" t="s">
        <v>1401</v>
      </c>
      <c r="E13" s="34" t="s">
        <v>1402</v>
      </c>
      <c r="F13" s="34" t="s">
        <v>1403</v>
      </c>
      <c r="G13" s="34" t="s">
        <v>1404</v>
      </c>
      <c r="H13" s="34" t="s">
        <v>60</v>
      </c>
    </row>
    <row r="14" customFormat="false" ht="15.75" hidden="false" customHeight="false" outlineLevel="0" collapsed="false">
      <c r="A14" s="34" t="s">
        <v>1405</v>
      </c>
      <c r="B14" s="34" t="s">
        <v>1339</v>
      </c>
      <c r="C14" s="34" t="s">
        <v>1406</v>
      </c>
      <c r="D14" s="34" t="s">
        <v>1407</v>
      </c>
      <c r="E14" s="34" t="s">
        <v>1408</v>
      </c>
      <c r="F14" s="34" t="s">
        <v>1409</v>
      </c>
      <c r="G14" s="34" t="s">
        <v>1410</v>
      </c>
      <c r="H14" s="34" t="s">
        <v>60</v>
      </c>
    </row>
    <row r="15" customFormat="false" ht="15.75" hidden="false" customHeight="false" outlineLevel="0" collapsed="false">
      <c r="A15" s="34" t="s">
        <v>1411</v>
      </c>
      <c r="B15" s="34" t="s">
        <v>1339</v>
      </c>
      <c r="C15" s="34" t="s">
        <v>1406</v>
      </c>
      <c r="D15" s="34" t="s">
        <v>1412</v>
      </c>
      <c r="E15" s="34" t="s">
        <v>1413</v>
      </c>
      <c r="F15" s="34" t="s">
        <v>1414</v>
      </c>
      <c r="G15" s="34" t="s">
        <v>1415</v>
      </c>
      <c r="H15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1416</v>
      </c>
    </row>
    <row r="2" customFormat="false" ht="15.75" hidden="false" customHeight="false" outlineLevel="0" collapsed="false">
      <c r="A2" s="23" t="s">
        <v>115</v>
      </c>
    </row>
    <row r="3" customFormat="false" ht="15.75" hidden="false" customHeight="false" outlineLevel="0" collapsed="false">
      <c r="A3" s="16" t="s">
        <v>1417</v>
      </c>
    </row>
    <row r="4" customFormat="false" ht="15.75" hidden="false" customHeight="false" outlineLevel="0" collapsed="false">
      <c r="A4" s="17" t="n">
        <v>9790</v>
      </c>
    </row>
    <row r="5" customFormat="false" ht="15.75" hidden="false" customHeight="false" outlineLevel="0" collapsed="false">
      <c r="A5" s="16" t="s">
        <v>1418</v>
      </c>
    </row>
    <row r="6" customFormat="false" ht="15.75" hidden="false" customHeight="false" outlineLevel="0" collapsed="false">
      <c r="A6" s="17" t="n">
        <v>19580</v>
      </c>
    </row>
    <row r="7" customFormat="false" ht="15.75" hidden="false" customHeight="false" outlineLevel="0" collapsed="false">
      <c r="A7" s="16" t="s">
        <v>1419</v>
      </c>
    </row>
    <row r="8" customFormat="false" ht="15.75" hidden="false" customHeight="false" outlineLevel="0" collapsed="false">
      <c r="A8" s="17" t="n">
        <v>48950</v>
      </c>
    </row>
    <row r="9" customFormat="false" ht="15.75" hidden="false" customHeight="false" outlineLevel="0" collapsed="false">
      <c r="A9" s="16" t="s">
        <v>1420</v>
      </c>
    </row>
    <row r="10" customFormat="false" ht="15.75" hidden="false" customHeight="false" outlineLevel="0" collapsed="false">
      <c r="A10" s="17" t="n">
        <v>97900</v>
      </c>
    </row>
    <row r="11" customFormat="false" ht="15.75" hidden="false" customHeight="false" outlineLevel="0" collapsed="false">
      <c r="A11" s="16" t="s">
        <v>1421</v>
      </c>
    </row>
    <row r="12" customFormat="false" ht="15.75" hidden="false" customHeight="false" outlineLevel="0" collapsed="false">
      <c r="A12" s="17" t="n">
        <v>195800</v>
      </c>
    </row>
    <row r="13" customFormat="false" ht="15.75" hidden="false" customHeight="false" outlineLevel="0" collapsed="false">
      <c r="A13" s="16" t="s">
        <v>1422</v>
      </c>
    </row>
    <row r="14" customFormat="false" ht="15.75" hidden="false" customHeight="false" outlineLevel="0" collapsed="false">
      <c r="A14" s="17" t="n">
        <v>293700</v>
      </c>
    </row>
    <row r="15" customFormat="false" ht="15.75" hidden="false" customHeight="false" outlineLevel="0" collapsed="false">
      <c r="A15" s="16" t="s">
        <v>1423</v>
      </c>
    </row>
    <row r="16" customFormat="false" ht="15.75" hidden="false" customHeight="false" outlineLevel="0" collapsed="false">
      <c r="A16" s="17" t="n">
        <v>489500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1424</v>
      </c>
      <c r="B2" s="34" t="s">
        <v>1425</v>
      </c>
      <c r="C2" s="34" t="s">
        <v>1426</v>
      </c>
      <c r="D2" s="34" t="s">
        <v>1427</v>
      </c>
      <c r="E2" s="34" t="s">
        <v>1428</v>
      </c>
      <c r="F2" s="34" t="s">
        <v>1429</v>
      </c>
      <c r="G2" s="34" t="s">
        <v>1430</v>
      </c>
      <c r="H2" s="34" t="s">
        <v>60</v>
      </c>
    </row>
    <row r="3" customFormat="false" ht="15.75" hidden="false" customHeight="false" outlineLevel="0" collapsed="false">
      <c r="A3" s="34" t="s">
        <v>1431</v>
      </c>
      <c r="B3" s="34" t="s">
        <v>1425</v>
      </c>
      <c r="C3" s="34" t="s">
        <v>1432</v>
      </c>
      <c r="D3" s="34" t="s">
        <v>1433</v>
      </c>
      <c r="E3" s="34" t="s">
        <v>1434</v>
      </c>
      <c r="F3" s="34" t="s">
        <v>1435</v>
      </c>
      <c r="G3" s="34" t="s">
        <v>1436</v>
      </c>
      <c r="H3" s="34" t="s">
        <v>60</v>
      </c>
    </row>
    <row r="4" customFormat="false" ht="15.75" hidden="false" customHeight="false" outlineLevel="0" collapsed="false">
      <c r="A4" s="34" t="s">
        <v>1437</v>
      </c>
      <c r="B4" s="34" t="s">
        <v>1425</v>
      </c>
      <c r="C4" s="34" t="s">
        <v>1438</v>
      </c>
      <c r="D4" s="34" t="s">
        <v>1439</v>
      </c>
      <c r="E4" s="34" t="s">
        <v>1440</v>
      </c>
      <c r="F4" s="34" t="s">
        <v>1441</v>
      </c>
      <c r="G4" s="34" t="s">
        <v>1442</v>
      </c>
      <c r="H4" s="34" t="s">
        <v>60</v>
      </c>
    </row>
    <row r="5" customFormat="false" ht="15.75" hidden="false" customHeight="false" outlineLevel="0" collapsed="false">
      <c r="A5" s="34" t="s">
        <v>1443</v>
      </c>
      <c r="B5" s="34" t="s">
        <v>1425</v>
      </c>
      <c r="C5" s="34" t="s">
        <v>1444</v>
      </c>
      <c r="D5" s="34" t="s">
        <v>1445</v>
      </c>
      <c r="E5" s="34" t="s">
        <v>1446</v>
      </c>
      <c r="F5" s="34" t="s">
        <v>1447</v>
      </c>
      <c r="G5" s="34" t="s">
        <v>1448</v>
      </c>
      <c r="H5" s="34" t="s">
        <v>60</v>
      </c>
    </row>
    <row r="6" customFormat="false" ht="15.75" hidden="false" customHeight="false" outlineLevel="0" collapsed="false">
      <c r="A6" s="34" t="s">
        <v>1449</v>
      </c>
      <c r="B6" s="34" t="s">
        <v>1425</v>
      </c>
      <c r="C6" s="34" t="s">
        <v>1450</v>
      </c>
      <c r="D6" s="34" t="s">
        <v>1451</v>
      </c>
      <c r="E6" s="34" t="s">
        <v>1452</v>
      </c>
      <c r="F6" s="34" t="s">
        <v>1453</v>
      </c>
      <c r="G6" s="34" t="s">
        <v>1454</v>
      </c>
      <c r="H6" s="34" t="s">
        <v>60</v>
      </c>
    </row>
    <row r="7" customFormat="false" ht="15.75" hidden="false" customHeight="false" outlineLevel="0" collapsed="false">
      <c r="A7" s="34" t="s">
        <v>1455</v>
      </c>
      <c r="B7" s="34" t="s">
        <v>1425</v>
      </c>
      <c r="C7" s="34" t="s">
        <v>1456</v>
      </c>
      <c r="D7" s="34" t="s">
        <v>1457</v>
      </c>
      <c r="E7" s="34" t="s">
        <v>1458</v>
      </c>
      <c r="F7" s="34" t="s">
        <v>1459</v>
      </c>
      <c r="G7" s="34" t="s">
        <v>1460</v>
      </c>
      <c r="H7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1461</v>
      </c>
      <c r="B2" s="34" t="s">
        <v>1462</v>
      </c>
      <c r="C2" s="34" t="s">
        <v>1463</v>
      </c>
      <c r="D2" s="34" t="s">
        <v>1464</v>
      </c>
      <c r="E2" s="34" t="s">
        <v>1465</v>
      </c>
      <c r="F2" s="34" t="s">
        <v>1466</v>
      </c>
      <c r="G2" s="34" t="s">
        <v>1467</v>
      </c>
      <c r="H2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1468</v>
      </c>
      <c r="B2" s="34" t="s">
        <v>1469</v>
      </c>
      <c r="C2" s="34" t="s">
        <v>1470</v>
      </c>
      <c r="D2" s="34" t="s">
        <v>1471</v>
      </c>
      <c r="E2" s="34" t="s">
        <v>1472</v>
      </c>
      <c r="F2" s="34" t="s">
        <v>1473</v>
      </c>
      <c r="G2" s="34" t="s">
        <v>1474</v>
      </c>
      <c r="H2" s="34" t="s">
        <v>60</v>
      </c>
    </row>
    <row r="3" customFormat="false" ht="15.75" hidden="false" customHeight="false" outlineLevel="0" collapsed="false">
      <c r="A3" s="34" t="s">
        <v>1475</v>
      </c>
      <c r="B3" s="34" t="s">
        <v>1469</v>
      </c>
      <c r="C3" s="34" t="s">
        <v>1476</v>
      </c>
      <c r="D3" s="34" t="s">
        <v>1477</v>
      </c>
      <c r="E3" s="34" t="s">
        <v>1478</v>
      </c>
      <c r="F3" s="34" t="s">
        <v>1479</v>
      </c>
      <c r="G3" s="34" t="s">
        <v>1480</v>
      </c>
      <c r="H3" s="34" t="s">
        <v>60</v>
      </c>
    </row>
    <row r="4" customFormat="false" ht="15.75" hidden="false" customHeight="false" outlineLevel="0" collapsed="false">
      <c r="A4" s="34" t="s">
        <v>1481</v>
      </c>
      <c r="B4" s="34" t="s">
        <v>1469</v>
      </c>
      <c r="C4" s="34" t="s">
        <v>1482</v>
      </c>
      <c r="D4" s="34" t="s">
        <v>1483</v>
      </c>
      <c r="E4" s="34" t="s">
        <v>1484</v>
      </c>
      <c r="F4" s="34" t="s">
        <v>1485</v>
      </c>
      <c r="G4" s="34" t="s">
        <v>1486</v>
      </c>
      <c r="H4" s="34" t="s">
        <v>60</v>
      </c>
    </row>
    <row r="5" customFormat="false" ht="15.75" hidden="false" customHeight="false" outlineLevel="0" collapsed="false">
      <c r="A5" s="34" t="s">
        <v>1487</v>
      </c>
      <c r="B5" s="34" t="s">
        <v>1469</v>
      </c>
      <c r="C5" s="34" t="s">
        <v>1488</v>
      </c>
      <c r="D5" s="34" t="s">
        <v>1489</v>
      </c>
      <c r="E5" s="34" t="s">
        <v>1490</v>
      </c>
      <c r="F5" s="34" t="s">
        <v>1491</v>
      </c>
      <c r="G5" s="34" t="s">
        <v>1492</v>
      </c>
      <c r="H5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1416</v>
      </c>
    </row>
    <row r="2" customFormat="false" ht="15.75" hidden="false" customHeight="false" outlineLevel="0" collapsed="false">
      <c r="A2" s="23" t="s">
        <v>115</v>
      </c>
    </row>
    <row r="3" customFormat="false" ht="15.75" hidden="false" customHeight="false" outlineLevel="0" collapsed="false">
      <c r="A3" s="16" t="s">
        <v>1493</v>
      </c>
    </row>
    <row r="4" customFormat="false" ht="15.75" hidden="false" customHeight="false" outlineLevel="0" collapsed="false">
      <c r="A4" s="17" t="n">
        <v>16437</v>
      </c>
    </row>
    <row r="5" customFormat="false" ht="15.75" hidden="false" customHeight="false" outlineLevel="0" collapsed="false">
      <c r="A5" s="16" t="s">
        <v>1494</v>
      </c>
    </row>
    <row r="6" customFormat="false" ht="15.75" hidden="false" customHeight="false" outlineLevel="0" collapsed="false">
      <c r="A6" s="17" t="n">
        <v>35956</v>
      </c>
    </row>
    <row r="7" customFormat="false" ht="15.75" hidden="false" customHeight="false" outlineLevel="0" collapsed="false">
      <c r="A7" s="16" t="s">
        <v>1495</v>
      </c>
    </row>
    <row r="8" customFormat="false" ht="15.75" hidden="false" customHeight="false" outlineLevel="0" collapsed="false">
      <c r="A8" s="17" t="n">
        <v>50339</v>
      </c>
    </row>
    <row r="9" customFormat="false" ht="15.75" hidden="false" customHeight="false" outlineLevel="0" collapsed="false">
      <c r="A9" s="16" t="s">
        <v>1496</v>
      </c>
    </row>
    <row r="10" customFormat="false" ht="15.75" hidden="false" customHeight="false" outlineLevel="0" collapsed="false">
      <c r="A10" s="17" t="n">
        <v>66775</v>
      </c>
    </row>
    <row r="11" customFormat="false" ht="15.75" hidden="false" customHeight="false" outlineLevel="0" collapsed="false">
      <c r="A11" s="16" t="s">
        <v>1497</v>
      </c>
    </row>
    <row r="12" customFormat="false" ht="15.75" hidden="false" customHeight="false" outlineLevel="0" collapsed="false">
      <c r="A12" s="17" t="n">
        <v>81157</v>
      </c>
    </row>
    <row r="13" customFormat="false" ht="15.75" hidden="false" customHeight="false" outlineLevel="0" collapsed="false">
      <c r="A13" s="16" t="s">
        <v>1498</v>
      </c>
    </row>
    <row r="14" customFormat="false" ht="15.75" hidden="false" customHeight="false" outlineLevel="0" collapsed="false">
      <c r="A14" s="17" t="n">
        <v>154095</v>
      </c>
    </row>
    <row r="15" customFormat="false" ht="15.75" hidden="false" customHeight="false" outlineLevel="0" collapsed="false">
      <c r="A15" s="16" t="s">
        <v>1499</v>
      </c>
    </row>
    <row r="16" customFormat="false" ht="15.75" hidden="false" customHeight="false" outlineLevel="0" collapsed="false">
      <c r="A16" s="17" t="n">
        <v>163342</v>
      </c>
    </row>
    <row r="17" customFormat="false" ht="15.75" hidden="false" customHeight="false" outlineLevel="0" collapsed="false">
      <c r="A17" s="16" t="s">
        <v>1500</v>
      </c>
    </row>
    <row r="18" customFormat="false" ht="15.75" hidden="false" customHeight="false" outlineLevel="0" collapsed="false">
      <c r="A18" s="17" t="n">
        <v>255798</v>
      </c>
    </row>
    <row r="19" customFormat="false" ht="15.75" hidden="false" customHeight="false" outlineLevel="0" collapsed="false">
      <c r="A19" s="16" t="s">
        <v>1501</v>
      </c>
    </row>
    <row r="20" customFormat="false" ht="15.75" hidden="false" customHeight="false" outlineLevel="0" collapsed="false">
      <c r="A20" s="17" t="n">
        <v>308190</v>
      </c>
    </row>
    <row r="21" customFormat="false" ht="15.75" hidden="false" customHeight="false" outlineLevel="0" collapsed="false">
      <c r="A21" s="16" t="s">
        <v>1502</v>
      </c>
    </row>
    <row r="22" customFormat="false" ht="15.75" hidden="false" customHeight="false" outlineLevel="0" collapsed="false">
      <c r="A22" s="17" t="n">
        <v>337982</v>
      </c>
    </row>
    <row r="23" customFormat="false" ht="15.75" hidden="false" customHeight="false" outlineLevel="0" collapsed="false">
      <c r="A23" s="16" t="s">
        <v>1503</v>
      </c>
    </row>
    <row r="24" customFormat="false" ht="15.75" hidden="false" customHeight="false" outlineLevel="0" collapsed="false">
      <c r="A24" s="17" t="n">
        <v>409893</v>
      </c>
    </row>
    <row r="25" customFormat="false" ht="15.75" hidden="false" customHeight="false" outlineLevel="0" collapsed="false">
      <c r="A25" s="16" t="s">
        <v>1504</v>
      </c>
    </row>
    <row r="26" customFormat="false" ht="15.75" hidden="false" customHeight="false" outlineLevel="0" collapsed="false">
      <c r="A26" s="17" t="n">
        <v>513651</v>
      </c>
    </row>
    <row r="27" customFormat="false" ht="15.75" hidden="false" customHeight="false" outlineLevel="0" collapsed="false">
      <c r="A27" s="16" t="s">
        <v>1505</v>
      </c>
    </row>
    <row r="28" customFormat="false" ht="15.75" hidden="false" customHeight="false" outlineLevel="0" collapsed="false">
      <c r="A28" s="17" t="n">
        <v>666718</v>
      </c>
    </row>
    <row r="29" customFormat="false" ht="15.75" hidden="false" customHeight="false" outlineLevel="0" collapsed="false">
      <c r="A29" s="16" t="s">
        <v>1506</v>
      </c>
    </row>
    <row r="30" customFormat="false" ht="15.75" hidden="false" customHeight="false" outlineLevel="0" collapsed="false">
      <c r="A30" s="17" t="n">
        <v>820813</v>
      </c>
    </row>
    <row r="31" customFormat="false" ht="15.75" hidden="false" customHeight="false" outlineLevel="0" collapsed="false">
      <c r="A31" s="16" t="s">
        <v>1507</v>
      </c>
    </row>
    <row r="32" customFormat="false" ht="15.75" hidden="false" customHeight="false" outlineLevel="0" collapsed="false">
      <c r="A32" s="17" t="n">
        <v>1027301</v>
      </c>
    </row>
    <row r="33" customFormat="false" ht="15.75" hidden="false" customHeight="false" outlineLevel="0" collapsed="false">
      <c r="A33" s="16" t="s">
        <v>1508</v>
      </c>
    </row>
    <row r="34" customFormat="false" ht="15.75" hidden="false" customHeight="false" outlineLevel="0" collapsed="false">
      <c r="A34" s="17" t="n">
        <v>1642653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1509</v>
      </c>
      <c r="B2" s="34" t="s">
        <v>1510</v>
      </c>
      <c r="C2" s="34" t="s">
        <v>878</v>
      </c>
      <c r="D2" s="34" t="s">
        <v>1511</v>
      </c>
      <c r="E2" s="34" t="s">
        <v>1512</v>
      </c>
      <c r="F2" s="34" t="s">
        <v>412</v>
      </c>
      <c r="G2" s="34" t="s">
        <v>413</v>
      </c>
      <c r="H2" s="34" t="s">
        <v>60</v>
      </c>
    </row>
    <row r="3" customFormat="false" ht="15.75" hidden="false" customHeight="false" outlineLevel="0" collapsed="false">
      <c r="A3" s="34" t="s">
        <v>1513</v>
      </c>
      <c r="B3" s="34" t="s">
        <v>1510</v>
      </c>
      <c r="C3" s="34" t="s">
        <v>1514</v>
      </c>
      <c r="D3" s="34" t="s">
        <v>1515</v>
      </c>
      <c r="E3" s="34" t="s">
        <v>1516</v>
      </c>
      <c r="F3" s="34" t="s">
        <v>1517</v>
      </c>
      <c r="G3" s="34" t="s">
        <v>1518</v>
      </c>
      <c r="H3" s="34" t="s">
        <v>60</v>
      </c>
    </row>
    <row r="4" customFormat="false" ht="15.75" hidden="false" customHeight="false" outlineLevel="0" collapsed="false">
      <c r="A4" s="34" t="s">
        <v>1519</v>
      </c>
      <c r="B4" s="34" t="s">
        <v>1510</v>
      </c>
      <c r="C4" s="34" t="s">
        <v>1520</v>
      </c>
      <c r="D4" s="34" t="s">
        <v>1521</v>
      </c>
      <c r="E4" s="34" t="s">
        <v>1522</v>
      </c>
      <c r="F4" s="34" t="s">
        <v>1523</v>
      </c>
      <c r="G4" s="34" t="s">
        <v>1524</v>
      </c>
      <c r="H4" s="34" t="s">
        <v>60</v>
      </c>
    </row>
    <row r="5" customFormat="false" ht="15.75" hidden="false" customHeight="false" outlineLevel="0" collapsed="false">
      <c r="A5" s="34" t="s">
        <v>1525</v>
      </c>
      <c r="B5" s="34" t="s">
        <v>1510</v>
      </c>
      <c r="C5" s="34" t="s">
        <v>1526</v>
      </c>
      <c r="D5" s="34" t="s">
        <v>1527</v>
      </c>
      <c r="E5" s="34" t="s">
        <v>1528</v>
      </c>
      <c r="F5" s="34" t="s">
        <v>1529</v>
      </c>
      <c r="G5" s="34" t="s">
        <v>1530</v>
      </c>
      <c r="H5" s="34" t="s">
        <v>60</v>
      </c>
    </row>
    <row r="6" customFormat="false" ht="15.75" hidden="false" customHeight="false" outlineLevel="0" collapsed="false">
      <c r="A6" s="34" t="s">
        <v>1531</v>
      </c>
      <c r="B6" s="34" t="s">
        <v>1510</v>
      </c>
      <c r="C6" s="34" t="s">
        <v>1532</v>
      </c>
      <c r="D6" s="34" t="s">
        <v>1533</v>
      </c>
      <c r="E6" s="34" t="s">
        <v>1534</v>
      </c>
      <c r="F6" s="34" t="s">
        <v>1535</v>
      </c>
      <c r="G6" s="34" t="s">
        <v>1536</v>
      </c>
      <c r="H6" s="34" t="s">
        <v>60</v>
      </c>
    </row>
    <row r="7" customFormat="false" ht="15.75" hidden="false" customHeight="false" outlineLevel="0" collapsed="false">
      <c r="A7" s="34" t="s">
        <v>1537</v>
      </c>
      <c r="B7" s="34" t="s">
        <v>1510</v>
      </c>
      <c r="C7" s="34" t="s">
        <v>1538</v>
      </c>
      <c r="D7" s="34" t="s">
        <v>1539</v>
      </c>
      <c r="E7" s="34" t="s">
        <v>1540</v>
      </c>
      <c r="F7" s="34" t="s">
        <v>1541</v>
      </c>
      <c r="G7" s="34" t="s">
        <v>1542</v>
      </c>
      <c r="H7" s="34" t="s">
        <v>60</v>
      </c>
    </row>
    <row r="8" customFormat="false" ht="15.75" hidden="false" customHeight="false" outlineLevel="0" collapsed="false">
      <c r="A8" s="34" t="s">
        <v>1543</v>
      </c>
      <c r="B8" s="34" t="s">
        <v>1510</v>
      </c>
      <c r="C8" s="34" t="s">
        <v>1544</v>
      </c>
      <c r="D8" s="34" t="s">
        <v>1545</v>
      </c>
      <c r="E8" s="34" t="s">
        <v>1546</v>
      </c>
      <c r="F8" s="34" t="s">
        <v>1547</v>
      </c>
      <c r="G8" s="34" t="s">
        <v>1548</v>
      </c>
      <c r="H8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1549</v>
      </c>
      <c r="B2" s="34" t="s">
        <v>1550</v>
      </c>
      <c r="C2" s="34" t="s">
        <v>1551</v>
      </c>
      <c r="D2" s="34" t="s">
        <v>1552</v>
      </c>
      <c r="E2" s="34" t="s">
        <v>1553</v>
      </c>
      <c r="F2" s="34" t="s">
        <v>1554</v>
      </c>
      <c r="G2" s="34" t="s">
        <v>1555</v>
      </c>
      <c r="H2" s="34" t="s">
        <v>60</v>
      </c>
    </row>
    <row r="3" customFormat="false" ht="15.75" hidden="false" customHeight="false" outlineLevel="0" collapsed="false">
      <c r="A3" s="34" t="s">
        <v>1556</v>
      </c>
      <c r="B3" s="34" t="s">
        <v>1550</v>
      </c>
      <c r="C3" s="34" t="s">
        <v>1557</v>
      </c>
      <c r="D3" s="34" t="s">
        <v>1558</v>
      </c>
      <c r="E3" s="34" t="s">
        <v>1559</v>
      </c>
      <c r="F3" s="34" t="s">
        <v>1560</v>
      </c>
      <c r="G3" s="34" t="s">
        <v>1561</v>
      </c>
      <c r="H3" s="34" t="s">
        <v>60</v>
      </c>
    </row>
    <row r="4" customFormat="false" ht="15.75" hidden="false" customHeight="false" outlineLevel="0" collapsed="false">
      <c r="A4" s="34" t="s">
        <v>1562</v>
      </c>
      <c r="B4" s="34" t="s">
        <v>1550</v>
      </c>
      <c r="C4" s="34" t="s">
        <v>1563</v>
      </c>
      <c r="D4" s="34" t="s">
        <v>1564</v>
      </c>
      <c r="E4" s="34" t="s">
        <v>1565</v>
      </c>
      <c r="F4" s="34" t="s">
        <v>1566</v>
      </c>
      <c r="G4" s="34" t="s">
        <v>1567</v>
      </c>
      <c r="H4" s="34" t="s">
        <v>60</v>
      </c>
    </row>
    <row r="5" customFormat="false" ht="15.75" hidden="false" customHeight="false" outlineLevel="0" collapsed="false">
      <c r="A5" s="34" t="s">
        <v>1568</v>
      </c>
      <c r="B5" s="34" t="s">
        <v>1550</v>
      </c>
      <c r="C5" s="34" t="s">
        <v>1569</v>
      </c>
      <c r="D5" s="34" t="s">
        <v>1570</v>
      </c>
      <c r="E5" s="34" t="s">
        <v>1571</v>
      </c>
      <c r="F5" s="34" t="s">
        <v>1572</v>
      </c>
      <c r="G5" s="34" t="s">
        <v>1573</v>
      </c>
      <c r="H5" s="34" t="s">
        <v>60</v>
      </c>
    </row>
    <row r="6" customFormat="false" ht="15.75" hidden="false" customHeight="false" outlineLevel="0" collapsed="false">
      <c r="A6" s="34" t="s">
        <v>1574</v>
      </c>
      <c r="B6" s="34" t="s">
        <v>1550</v>
      </c>
      <c r="C6" s="34" t="s">
        <v>1575</v>
      </c>
      <c r="D6" s="34" t="s">
        <v>1576</v>
      </c>
      <c r="E6" s="34" t="s">
        <v>1577</v>
      </c>
      <c r="F6" s="34" t="s">
        <v>1578</v>
      </c>
      <c r="G6" s="34" t="s">
        <v>1579</v>
      </c>
      <c r="H6" s="34" t="s">
        <v>60</v>
      </c>
    </row>
    <row r="7" customFormat="false" ht="15.75" hidden="false" customHeight="false" outlineLevel="0" collapsed="false">
      <c r="A7" s="34" t="s">
        <v>1580</v>
      </c>
      <c r="B7" s="34" t="s">
        <v>1550</v>
      </c>
      <c r="C7" s="34" t="s">
        <v>1581</v>
      </c>
      <c r="D7" s="34" t="s">
        <v>1582</v>
      </c>
      <c r="E7" s="34" t="s">
        <v>1583</v>
      </c>
      <c r="F7" s="34" t="s">
        <v>1584</v>
      </c>
      <c r="G7" s="34" t="s">
        <v>1585</v>
      </c>
      <c r="H7" s="34" t="s">
        <v>60</v>
      </c>
    </row>
    <row r="8" customFormat="false" ht="15.75" hidden="false" customHeight="false" outlineLevel="0" collapsed="false">
      <c r="A8" s="34" t="s">
        <v>1586</v>
      </c>
      <c r="B8" s="34" t="s">
        <v>1550</v>
      </c>
      <c r="C8" s="34" t="s">
        <v>1587</v>
      </c>
      <c r="D8" s="34" t="s">
        <v>1588</v>
      </c>
      <c r="E8" s="34" t="s">
        <v>1589</v>
      </c>
      <c r="F8" s="34" t="s">
        <v>1590</v>
      </c>
      <c r="G8" s="34" t="s">
        <v>1591</v>
      </c>
      <c r="H8" s="34" t="s">
        <v>60</v>
      </c>
    </row>
    <row r="9" customFormat="false" ht="15.75" hidden="false" customHeight="false" outlineLevel="0" collapsed="false">
      <c r="A9" s="34" t="s">
        <v>1592</v>
      </c>
      <c r="B9" s="34" t="s">
        <v>1550</v>
      </c>
      <c r="C9" s="34" t="s">
        <v>1593</v>
      </c>
      <c r="D9" s="34" t="s">
        <v>1594</v>
      </c>
      <c r="E9" s="34" t="s">
        <v>1595</v>
      </c>
      <c r="F9" s="34" t="s">
        <v>1596</v>
      </c>
      <c r="G9" s="34" t="s">
        <v>1597</v>
      </c>
      <c r="H9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1598</v>
      </c>
    </row>
    <row r="2" customFormat="false" ht="15.75" hidden="false" customHeight="false" outlineLevel="0" collapsed="false">
      <c r="A2" s="23" t="s">
        <v>115</v>
      </c>
    </row>
    <row r="3" customFormat="false" ht="15.75" hidden="false" customHeight="false" outlineLevel="0" collapsed="false">
      <c r="A3" s="16" t="s">
        <v>1599</v>
      </c>
    </row>
    <row r="4" customFormat="false" ht="15.75" hidden="false" customHeight="false" outlineLevel="0" collapsed="false">
      <c r="A4" s="17" t="n">
        <v>13753</v>
      </c>
    </row>
    <row r="5" customFormat="false" ht="15.75" hidden="false" customHeight="false" outlineLevel="0" collapsed="false">
      <c r="A5" s="16" t="s">
        <v>1600</v>
      </c>
    </row>
    <row r="6" customFormat="false" ht="15.75" hidden="false" customHeight="false" outlineLevel="0" collapsed="false">
      <c r="A6" s="17" t="n">
        <v>68763</v>
      </c>
    </row>
    <row r="7" customFormat="false" ht="15.75" hidden="false" customHeight="false" outlineLevel="0" collapsed="false">
      <c r="A7" s="16" t="s">
        <v>1601</v>
      </c>
    </row>
    <row r="8" customFormat="false" ht="15.75" hidden="false" customHeight="false" outlineLevel="0" collapsed="false">
      <c r="A8" s="17" t="n">
        <v>98037</v>
      </c>
    </row>
    <row r="9" customFormat="false" ht="15.75" hidden="false" customHeight="false" outlineLevel="0" collapsed="false">
      <c r="A9" s="16" t="s">
        <v>1602</v>
      </c>
    </row>
    <row r="10" customFormat="false" ht="15.75" hidden="false" customHeight="false" outlineLevel="0" collapsed="false">
      <c r="A10" s="17" t="n">
        <v>137524</v>
      </c>
    </row>
    <row r="11" customFormat="false" ht="15.75" hidden="false" customHeight="false" outlineLevel="0" collapsed="false">
      <c r="A11" s="16" t="s">
        <v>1603</v>
      </c>
    </row>
    <row r="12" customFormat="false" ht="15.75" hidden="false" customHeight="false" outlineLevel="0" collapsed="false">
      <c r="A12" s="17" t="n">
        <v>286508</v>
      </c>
    </row>
    <row r="13" customFormat="false" ht="15.75" hidden="false" customHeight="false" outlineLevel="0" collapsed="false">
      <c r="A13" s="16" t="s">
        <v>1604</v>
      </c>
    </row>
    <row r="14" customFormat="false" ht="15.75" hidden="false" customHeight="false" outlineLevel="0" collapsed="false">
      <c r="A14" s="17" t="n">
        <v>458412</v>
      </c>
    </row>
    <row r="15" customFormat="false" ht="15.75" hidden="false" customHeight="false" outlineLevel="0" collapsed="false">
      <c r="A15" s="16" t="s">
        <v>1605</v>
      </c>
    </row>
    <row r="16" customFormat="false" ht="15.75" hidden="false" customHeight="false" outlineLevel="0" collapsed="false">
      <c r="A16" s="17" t="n">
        <v>687616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1606</v>
      </c>
      <c r="B2" s="34" t="s">
        <v>1607</v>
      </c>
      <c r="C2" s="37" t="s">
        <v>1608</v>
      </c>
      <c r="D2" s="34" t="s">
        <v>1609</v>
      </c>
      <c r="E2" s="34" t="s">
        <v>1610</v>
      </c>
      <c r="F2" s="34" t="s">
        <v>1611</v>
      </c>
      <c r="G2" s="34" t="s">
        <v>1612</v>
      </c>
      <c r="H2" s="34" t="s">
        <v>60</v>
      </c>
    </row>
    <row r="3" customFormat="false" ht="15.75" hidden="false" customHeight="false" outlineLevel="0" collapsed="false">
      <c r="A3" s="34" t="s">
        <v>1613</v>
      </c>
      <c r="B3" s="34" t="s">
        <v>1607</v>
      </c>
      <c r="C3" s="34" t="s">
        <v>1614</v>
      </c>
      <c r="D3" s="34" t="s">
        <v>1615</v>
      </c>
      <c r="E3" s="34" t="s">
        <v>1616</v>
      </c>
      <c r="F3" s="34" t="s">
        <v>1617</v>
      </c>
      <c r="G3" s="34" t="s">
        <v>1618</v>
      </c>
      <c r="H3" s="34" t="s">
        <v>60</v>
      </c>
    </row>
    <row r="4" customFormat="false" ht="15.75" hidden="false" customHeight="false" outlineLevel="0" collapsed="false">
      <c r="A4" s="34" t="s">
        <v>1619</v>
      </c>
      <c r="B4" s="34" t="s">
        <v>1607</v>
      </c>
      <c r="C4" s="34" t="s">
        <v>1620</v>
      </c>
      <c r="D4" s="34" t="s">
        <v>1621</v>
      </c>
      <c r="E4" s="34" t="s">
        <v>1622</v>
      </c>
      <c r="F4" s="34" t="s">
        <v>1623</v>
      </c>
      <c r="G4" s="34" t="s">
        <v>1624</v>
      </c>
      <c r="H4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1625</v>
      </c>
      <c r="B2" s="34" t="s">
        <v>32</v>
      </c>
      <c r="C2" s="34" t="s">
        <v>1626</v>
      </c>
      <c r="D2" s="34" t="s">
        <v>1627</v>
      </c>
      <c r="E2" s="34" t="s">
        <v>1628</v>
      </c>
      <c r="F2" s="34" t="s">
        <v>1629</v>
      </c>
      <c r="G2" s="34" t="s">
        <v>1630</v>
      </c>
      <c r="H2" s="34" t="s">
        <v>60</v>
      </c>
    </row>
    <row r="3" customFormat="false" ht="15.75" hidden="false" customHeight="false" outlineLevel="0" collapsed="false">
      <c r="A3" s="34" t="s">
        <v>1631</v>
      </c>
      <c r="B3" s="34" t="s">
        <v>32</v>
      </c>
      <c r="C3" s="34" t="s">
        <v>1632</v>
      </c>
      <c r="D3" s="34" t="s">
        <v>1633</v>
      </c>
      <c r="E3" s="34" t="s">
        <v>1634</v>
      </c>
      <c r="F3" s="34" t="s">
        <v>1635</v>
      </c>
      <c r="G3" s="34" t="s">
        <v>1636</v>
      </c>
      <c r="H3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1637</v>
      </c>
      <c r="B2" s="34" t="s">
        <v>1638</v>
      </c>
      <c r="C2" s="34" t="s">
        <v>1639</v>
      </c>
      <c r="D2" s="34" t="s">
        <v>1640</v>
      </c>
      <c r="E2" s="34" t="s">
        <v>1641</v>
      </c>
      <c r="F2" s="34" t="s">
        <v>477</v>
      </c>
      <c r="G2" s="34" t="s">
        <v>1642</v>
      </c>
      <c r="H2" s="34" t="s">
        <v>60</v>
      </c>
    </row>
    <row r="3" customFormat="false" ht="15.75" hidden="false" customHeight="false" outlineLevel="0" collapsed="false">
      <c r="A3" s="34" t="s">
        <v>1643</v>
      </c>
      <c r="B3" s="34" t="s">
        <v>1638</v>
      </c>
      <c r="C3" s="34" t="s">
        <v>1644</v>
      </c>
      <c r="D3" s="34" t="s">
        <v>1645</v>
      </c>
      <c r="E3" s="34" t="s">
        <v>1646</v>
      </c>
      <c r="F3" s="34" t="s">
        <v>1647</v>
      </c>
      <c r="G3" s="34" t="s">
        <v>1648</v>
      </c>
      <c r="H3" s="34" t="s">
        <v>60</v>
      </c>
    </row>
    <row r="4" customFormat="false" ht="15.75" hidden="false" customHeight="false" outlineLevel="0" collapsed="false">
      <c r="A4" s="34" t="s">
        <v>1649</v>
      </c>
      <c r="B4" s="34" t="s">
        <v>1638</v>
      </c>
      <c r="C4" s="34" t="s">
        <v>1650</v>
      </c>
      <c r="D4" s="34" t="s">
        <v>1651</v>
      </c>
      <c r="E4" s="34" t="s">
        <v>1652</v>
      </c>
      <c r="F4" s="34" t="s">
        <v>1653</v>
      </c>
      <c r="G4" s="34" t="s">
        <v>1654</v>
      </c>
      <c r="H4" s="34" t="s">
        <v>60</v>
      </c>
    </row>
    <row r="5" customFormat="false" ht="15.75" hidden="false" customHeight="false" outlineLevel="0" collapsed="false">
      <c r="A5" s="34" t="s">
        <v>1655</v>
      </c>
      <c r="B5" s="34" t="s">
        <v>1638</v>
      </c>
      <c r="C5" s="34" t="s">
        <v>1656</v>
      </c>
      <c r="D5" s="34" t="s">
        <v>1657</v>
      </c>
      <c r="E5" s="34" t="s">
        <v>1658</v>
      </c>
      <c r="F5" s="34" t="s">
        <v>1659</v>
      </c>
      <c r="G5" s="34" t="s">
        <v>1660</v>
      </c>
      <c r="H5" s="34" t="s">
        <v>60</v>
      </c>
    </row>
    <row r="6" customFormat="false" ht="15.75" hidden="false" customHeight="false" outlineLevel="0" collapsed="false">
      <c r="A6" s="34" t="s">
        <v>1661</v>
      </c>
      <c r="B6" s="34" t="s">
        <v>1638</v>
      </c>
      <c r="C6" s="34" t="s">
        <v>1656</v>
      </c>
      <c r="D6" s="34" t="s">
        <v>1662</v>
      </c>
      <c r="E6" s="34" t="s">
        <v>1663</v>
      </c>
      <c r="F6" s="34" t="s">
        <v>1664</v>
      </c>
      <c r="G6" s="34" t="s">
        <v>1665</v>
      </c>
      <c r="H6" s="34" t="s">
        <v>60</v>
      </c>
    </row>
    <row r="7" customFormat="false" ht="15.75" hidden="false" customHeight="false" outlineLevel="0" collapsed="false">
      <c r="A7" s="34" t="s">
        <v>1666</v>
      </c>
      <c r="B7" s="34" t="s">
        <v>1638</v>
      </c>
      <c r="C7" s="34" t="s">
        <v>1667</v>
      </c>
      <c r="D7" s="34" t="s">
        <v>1668</v>
      </c>
      <c r="E7" s="34" t="s">
        <v>1669</v>
      </c>
      <c r="F7" s="34" t="s">
        <v>560</v>
      </c>
      <c r="G7" s="34" t="s">
        <v>1670</v>
      </c>
      <c r="H7" s="34" t="s">
        <v>60</v>
      </c>
    </row>
    <row r="8" customFormat="false" ht="15.75" hidden="false" customHeight="false" outlineLevel="0" collapsed="false">
      <c r="A8" s="34" t="s">
        <v>1671</v>
      </c>
      <c r="B8" s="34" t="s">
        <v>1638</v>
      </c>
      <c r="C8" s="34" t="s">
        <v>1667</v>
      </c>
      <c r="D8" s="34" t="s">
        <v>1672</v>
      </c>
      <c r="E8" s="34" t="s">
        <v>1673</v>
      </c>
      <c r="F8" s="34" t="s">
        <v>1674</v>
      </c>
      <c r="G8" s="34" t="s">
        <v>1675</v>
      </c>
      <c r="H8" s="34" t="s">
        <v>60</v>
      </c>
    </row>
    <row r="9" customFormat="false" ht="15.75" hidden="false" customHeight="false" outlineLevel="0" collapsed="false">
      <c r="A9" s="34" t="s">
        <v>1676</v>
      </c>
      <c r="B9" s="34" t="s">
        <v>1638</v>
      </c>
      <c r="C9" s="34" t="s">
        <v>1677</v>
      </c>
      <c r="D9" s="34" t="s">
        <v>1678</v>
      </c>
      <c r="E9" s="34" t="s">
        <v>1679</v>
      </c>
      <c r="F9" s="34" t="s">
        <v>1680</v>
      </c>
      <c r="G9" s="34" t="s">
        <v>1681</v>
      </c>
      <c r="H9" s="34" t="s">
        <v>60</v>
      </c>
    </row>
    <row r="10" customFormat="false" ht="15.75" hidden="false" customHeight="false" outlineLevel="0" collapsed="false">
      <c r="A10" s="34" t="s">
        <v>1682</v>
      </c>
      <c r="B10" s="34" t="s">
        <v>1638</v>
      </c>
      <c r="C10" s="34" t="s">
        <v>1677</v>
      </c>
      <c r="D10" s="34" t="s">
        <v>1683</v>
      </c>
      <c r="E10" s="34" t="s">
        <v>1684</v>
      </c>
      <c r="F10" s="34" t="s">
        <v>1685</v>
      </c>
      <c r="G10" s="34" t="s">
        <v>1686</v>
      </c>
      <c r="H10" s="34" t="s">
        <v>60</v>
      </c>
    </row>
    <row r="11" customFormat="false" ht="15.75" hidden="false" customHeight="false" outlineLevel="0" collapsed="false">
      <c r="A11" s="34" t="s">
        <v>1687</v>
      </c>
      <c r="B11" s="34" t="s">
        <v>1638</v>
      </c>
      <c r="C11" s="34" t="s">
        <v>1688</v>
      </c>
      <c r="D11" s="34" t="s">
        <v>1689</v>
      </c>
      <c r="E11" s="34" t="s">
        <v>1690</v>
      </c>
      <c r="F11" s="34" t="s">
        <v>1691</v>
      </c>
      <c r="G11" s="34" t="s">
        <v>1692</v>
      </c>
      <c r="H11" s="34" t="s">
        <v>60</v>
      </c>
    </row>
    <row r="12" customFormat="false" ht="15.75" hidden="false" customHeight="false" outlineLevel="0" collapsed="false">
      <c r="A12" s="34" t="s">
        <v>1693</v>
      </c>
      <c r="B12" s="34" t="s">
        <v>1638</v>
      </c>
      <c r="C12" s="34" t="s">
        <v>1688</v>
      </c>
      <c r="D12" s="34" t="s">
        <v>1694</v>
      </c>
      <c r="E12" s="34" t="s">
        <v>1695</v>
      </c>
      <c r="F12" s="34" t="s">
        <v>1696</v>
      </c>
      <c r="G12" s="34" t="s">
        <v>1697</v>
      </c>
      <c r="H12" s="34" t="s">
        <v>60</v>
      </c>
    </row>
    <row r="13" customFormat="false" ht="15.75" hidden="false" customHeight="false" outlineLevel="0" collapsed="false">
      <c r="A13" s="34" t="s">
        <v>1698</v>
      </c>
      <c r="B13" s="34" t="s">
        <v>1638</v>
      </c>
      <c r="C13" s="34" t="s">
        <v>1699</v>
      </c>
      <c r="D13" s="34" t="s">
        <v>1700</v>
      </c>
      <c r="E13" s="34" t="s">
        <v>1701</v>
      </c>
      <c r="F13" s="34" t="s">
        <v>1702</v>
      </c>
      <c r="G13" s="34" t="s">
        <v>1703</v>
      </c>
      <c r="H13" s="34" t="s">
        <v>60</v>
      </c>
    </row>
    <row r="14" customFormat="false" ht="15.75" hidden="false" customHeight="false" outlineLevel="0" collapsed="false">
      <c r="A14" s="34" t="s">
        <v>1704</v>
      </c>
      <c r="B14" s="34" t="s">
        <v>1638</v>
      </c>
      <c r="C14" s="34" t="s">
        <v>1699</v>
      </c>
      <c r="D14" s="34" t="s">
        <v>1705</v>
      </c>
      <c r="E14" s="34" t="s">
        <v>1706</v>
      </c>
      <c r="F14" s="34" t="s">
        <v>1707</v>
      </c>
      <c r="G14" s="34" t="s">
        <v>1708</v>
      </c>
      <c r="H14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1416</v>
      </c>
    </row>
    <row r="2" customFormat="false" ht="15.75" hidden="false" customHeight="false" outlineLevel="0" collapsed="false">
      <c r="A2" s="23" t="s">
        <v>115</v>
      </c>
    </row>
    <row r="3" customFormat="false" ht="15.75" hidden="false" customHeight="false" outlineLevel="0" collapsed="false">
      <c r="A3" s="16" t="s">
        <v>1667</v>
      </c>
    </row>
    <row r="4" customFormat="false" ht="15.75" hidden="false" customHeight="false" outlineLevel="0" collapsed="false">
      <c r="A4" s="17" t="n">
        <v>142212</v>
      </c>
    </row>
    <row r="5" customFormat="false" ht="15.75" hidden="false" customHeight="false" outlineLevel="0" collapsed="false">
      <c r="A5" s="16" t="s">
        <v>1688</v>
      </c>
    </row>
    <row r="6" customFormat="false" ht="15.75" hidden="false" customHeight="false" outlineLevel="0" collapsed="false">
      <c r="A6" s="17" t="n">
        <v>443819</v>
      </c>
    </row>
    <row r="8" customFormat="false" ht="15.75" hidden="false" customHeight="false" outlineLevel="0" collapsed="false">
      <c r="A8" s="15" t="s">
        <v>117</v>
      </c>
    </row>
    <row r="9" customFormat="false" ht="15.75" hidden="false" customHeight="false" outlineLevel="0" collapsed="false">
      <c r="A9" s="23" t="s">
        <v>115</v>
      </c>
    </row>
    <row r="10" customFormat="false" ht="15.75" hidden="false" customHeight="false" outlineLevel="0" collapsed="false">
      <c r="A10" s="16" t="s">
        <v>1709</v>
      </c>
    </row>
    <row r="11" customFormat="false" ht="15.75" hidden="false" customHeight="false" outlineLevel="0" collapsed="false">
      <c r="A11" s="17" t="n">
        <v>41475</v>
      </c>
    </row>
    <row r="12" customFormat="false" ht="15.75" hidden="false" customHeight="false" outlineLevel="0" collapsed="false">
      <c r="A12" s="16" t="s">
        <v>1710</v>
      </c>
    </row>
    <row r="13" customFormat="false" ht="15.75" hidden="false" customHeight="false" outlineLevel="0" collapsed="false">
      <c r="A13" s="17" t="n">
        <v>60327</v>
      </c>
    </row>
    <row r="14" customFormat="false" ht="15.75" hidden="false" customHeight="false" outlineLevel="0" collapsed="false">
      <c r="A14" s="16" t="s">
        <v>1711</v>
      </c>
    </row>
    <row r="15" customFormat="false" ht="15.75" hidden="false" customHeight="false" outlineLevel="0" collapsed="false">
      <c r="A15" s="17" t="n">
        <v>91328</v>
      </c>
    </row>
    <row r="16" customFormat="false" ht="15.75" hidden="false" customHeight="false" outlineLevel="0" collapsed="false">
      <c r="A16" s="16" t="s">
        <v>1712</v>
      </c>
    </row>
    <row r="17" customFormat="false" ht="15.75" hidden="false" customHeight="false" outlineLevel="0" collapsed="false">
      <c r="A17" s="17" t="n">
        <v>98870</v>
      </c>
    </row>
    <row r="18" customFormat="false" ht="15.75" hidden="false" customHeight="false" outlineLevel="0" collapsed="false">
      <c r="A18" s="16" t="s">
        <v>1713</v>
      </c>
    </row>
    <row r="19" customFormat="false" ht="15.75" hidden="false" customHeight="false" outlineLevel="0" collapsed="false">
      <c r="A19" s="17" t="n">
        <v>142438</v>
      </c>
    </row>
    <row r="20" customFormat="false" ht="15.75" hidden="false" customHeight="false" outlineLevel="0" collapsed="false">
      <c r="A20" s="16" t="s">
        <v>1714</v>
      </c>
    </row>
    <row r="21" customFormat="false" ht="15.75" hidden="false" customHeight="false" outlineLevel="0" collapsed="false">
      <c r="A21" s="17" t="n">
        <v>162548</v>
      </c>
    </row>
    <row r="22" customFormat="false" ht="15.75" hidden="false" customHeight="false" outlineLevel="0" collapsed="false">
      <c r="A22" s="16" t="s">
        <v>1715</v>
      </c>
    </row>
    <row r="23" customFormat="false" ht="15.75" hidden="false" customHeight="false" outlineLevel="0" collapsed="false">
      <c r="A23" s="17" t="n">
        <v>222037</v>
      </c>
    </row>
    <row r="24" customFormat="false" ht="15.75" hidden="false" customHeight="false" outlineLevel="0" collapsed="false">
      <c r="A24" s="16" t="s">
        <v>1716</v>
      </c>
    </row>
    <row r="25" customFormat="false" ht="15.75" hidden="false" customHeight="false" outlineLevel="0" collapsed="false">
      <c r="A25" s="17" t="n">
        <v>300796</v>
      </c>
    </row>
    <row r="26" customFormat="false" ht="15.75" hidden="false" customHeight="false" outlineLevel="0" collapsed="false">
      <c r="A26" s="16" t="s">
        <v>1717</v>
      </c>
    </row>
    <row r="27" customFormat="false" ht="15.75" hidden="false" customHeight="false" outlineLevel="0" collapsed="false">
      <c r="A27" s="17" t="n">
        <v>389610</v>
      </c>
    </row>
    <row r="28" customFormat="false" ht="15.75" hidden="false" customHeight="false" outlineLevel="0" collapsed="false">
      <c r="A28" s="16" t="s">
        <v>1718</v>
      </c>
    </row>
    <row r="29" customFormat="false" ht="15.75" hidden="false" customHeight="false" outlineLevel="0" collapsed="false">
      <c r="A29" s="17" t="n">
        <v>435693</v>
      </c>
    </row>
    <row r="30" customFormat="false" ht="15.75" hidden="false" customHeight="false" outlineLevel="0" collapsed="false">
      <c r="A30" s="16" t="s">
        <v>1719</v>
      </c>
    </row>
    <row r="31" customFormat="false" ht="15.75" hidden="false" customHeight="false" outlineLevel="0" collapsed="false">
      <c r="A31" s="17" t="n">
        <v>719730</v>
      </c>
    </row>
    <row r="32" customFormat="false" ht="15.75" hidden="false" customHeight="false" outlineLevel="0" collapsed="false">
      <c r="A32" s="16" t="s">
        <v>1720</v>
      </c>
    </row>
    <row r="33" customFormat="false" ht="15.75" hidden="false" customHeight="false" outlineLevel="0" collapsed="false">
      <c r="A33" s="17" t="n">
        <v>1268534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1721</v>
      </c>
      <c r="B2" s="34" t="s">
        <v>1722</v>
      </c>
      <c r="C2" s="34" t="s">
        <v>1723</v>
      </c>
      <c r="D2" s="34" t="s">
        <v>1724</v>
      </c>
      <c r="E2" s="34" t="s">
        <v>1725</v>
      </c>
      <c r="F2" s="34" t="s">
        <v>1726</v>
      </c>
      <c r="G2" s="34" t="s">
        <v>1727</v>
      </c>
      <c r="H2" s="34" t="s">
        <v>60</v>
      </c>
    </row>
    <row r="3" customFormat="false" ht="15.75" hidden="false" customHeight="false" outlineLevel="0" collapsed="false">
      <c r="A3" s="34" t="s">
        <v>1728</v>
      </c>
      <c r="B3" s="34" t="s">
        <v>1722</v>
      </c>
      <c r="C3" s="34" t="s">
        <v>1729</v>
      </c>
      <c r="D3" s="34" t="s">
        <v>1730</v>
      </c>
      <c r="E3" s="34" t="s">
        <v>1731</v>
      </c>
      <c r="F3" s="34" t="s">
        <v>1732</v>
      </c>
      <c r="G3" s="34" t="s">
        <v>1733</v>
      </c>
      <c r="H3" s="34" t="s">
        <v>60</v>
      </c>
    </row>
    <row r="4" customFormat="false" ht="15.75" hidden="false" customHeight="false" outlineLevel="0" collapsed="false">
      <c r="A4" s="34" t="s">
        <v>1734</v>
      </c>
      <c r="B4" s="34" t="s">
        <v>1722</v>
      </c>
      <c r="C4" s="34" t="s">
        <v>1735</v>
      </c>
      <c r="D4" s="34" t="s">
        <v>1736</v>
      </c>
      <c r="E4" s="34" t="s">
        <v>1737</v>
      </c>
      <c r="F4" s="34" t="s">
        <v>1738</v>
      </c>
      <c r="G4" s="34" t="s">
        <v>1534</v>
      </c>
      <c r="H4" s="34" t="s">
        <v>60</v>
      </c>
    </row>
    <row r="5" customFormat="false" ht="15.75" hidden="false" customHeight="false" outlineLevel="0" collapsed="false">
      <c r="A5" s="34" t="s">
        <v>1739</v>
      </c>
      <c r="B5" s="34" t="s">
        <v>1722</v>
      </c>
      <c r="C5" s="34" t="s">
        <v>1740</v>
      </c>
      <c r="D5" s="34" t="s">
        <v>1741</v>
      </c>
      <c r="E5" s="34" t="s">
        <v>1742</v>
      </c>
      <c r="F5" s="34" t="s">
        <v>1743</v>
      </c>
      <c r="G5" s="34" t="s">
        <v>1744</v>
      </c>
      <c r="H5" s="34" t="s">
        <v>60</v>
      </c>
    </row>
    <row r="6" customFormat="false" ht="15.75" hidden="false" customHeight="false" outlineLevel="0" collapsed="false">
      <c r="A6" s="34" t="s">
        <v>1745</v>
      </c>
      <c r="B6" s="34" t="s">
        <v>1722</v>
      </c>
      <c r="C6" s="34" t="s">
        <v>1746</v>
      </c>
      <c r="D6" s="34" t="s">
        <v>1747</v>
      </c>
      <c r="E6" s="34" t="s">
        <v>1748</v>
      </c>
      <c r="F6" s="34" t="s">
        <v>1749</v>
      </c>
      <c r="G6" s="34" t="s">
        <v>1750</v>
      </c>
      <c r="H6" s="34" t="s">
        <v>60</v>
      </c>
    </row>
    <row r="7" customFormat="false" ht="15.75" hidden="false" customHeight="false" outlineLevel="0" collapsed="false">
      <c r="A7" s="34" t="s">
        <v>1751</v>
      </c>
      <c r="B7" s="34" t="s">
        <v>1722</v>
      </c>
      <c r="C7" s="34" t="s">
        <v>1752</v>
      </c>
      <c r="D7" s="34" t="s">
        <v>1747</v>
      </c>
      <c r="E7" s="34" t="s">
        <v>1748</v>
      </c>
      <c r="F7" s="34" t="s">
        <v>1749</v>
      </c>
      <c r="G7" s="34" t="s">
        <v>1750</v>
      </c>
      <c r="H7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1753</v>
      </c>
      <c r="B2" s="34" t="s">
        <v>1754</v>
      </c>
      <c r="C2" s="34" t="s">
        <v>1755</v>
      </c>
      <c r="D2" s="34" t="s">
        <v>1756</v>
      </c>
      <c r="E2" s="34" t="s">
        <v>1757</v>
      </c>
      <c r="F2" s="34" t="s">
        <v>1758</v>
      </c>
      <c r="G2" s="34" t="s">
        <v>1759</v>
      </c>
      <c r="H2" s="34" t="s">
        <v>60</v>
      </c>
    </row>
    <row r="3" customFormat="false" ht="15.75" hidden="false" customHeight="false" outlineLevel="0" collapsed="false">
      <c r="A3" s="34" t="s">
        <v>1760</v>
      </c>
      <c r="B3" s="34" t="s">
        <v>1754</v>
      </c>
      <c r="C3" s="34" t="s">
        <v>1761</v>
      </c>
      <c r="D3" s="34" t="s">
        <v>1762</v>
      </c>
      <c r="E3" s="34" t="s">
        <v>1763</v>
      </c>
      <c r="F3" s="34" t="s">
        <v>1764</v>
      </c>
      <c r="G3" s="34" t="s">
        <v>1765</v>
      </c>
      <c r="H3" s="34" t="s">
        <v>60</v>
      </c>
    </row>
    <row r="4" customFormat="false" ht="15.75" hidden="false" customHeight="false" outlineLevel="0" collapsed="false">
      <c r="A4" s="34" t="s">
        <v>1766</v>
      </c>
      <c r="B4" s="34" t="s">
        <v>1754</v>
      </c>
      <c r="C4" s="34" t="s">
        <v>1767</v>
      </c>
      <c r="D4" s="34" t="s">
        <v>1768</v>
      </c>
      <c r="E4" s="34" t="s">
        <v>1769</v>
      </c>
      <c r="F4" s="34" t="s">
        <v>1770</v>
      </c>
      <c r="G4" s="34" t="s">
        <v>1771</v>
      </c>
      <c r="H4" s="34" t="s">
        <v>60</v>
      </c>
    </row>
    <row r="5" customFormat="false" ht="15.75" hidden="false" customHeight="false" outlineLevel="0" collapsed="false">
      <c r="A5" s="34" t="s">
        <v>1772</v>
      </c>
      <c r="B5" s="34" t="s">
        <v>1754</v>
      </c>
      <c r="C5" s="34" t="s">
        <v>1773</v>
      </c>
      <c r="D5" s="34" t="s">
        <v>1774</v>
      </c>
      <c r="E5" s="34" t="s">
        <v>1775</v>
      </c>
      <c r="F5" s="34" t="s">
        <v>1776</v>
      </c>
      <c r="G5" s="34" t="s">
        <v>1777</v>
      </c>
      <c r="H5" s="34" t="s">
        <v>60</v>
      </c>
    </row>
    <row r="6" customFormat="false" ht="15.75" hidden="false" customHeight="false" outlineLevel="0" collapsed="false">
      <c r="A6" s="34" t="s">
        <v>1778</v>
      </c>
      <c r="B6" s="34" t="s">
        <v>1754</v>
      </c>
      <c r="C6" s="34" t="s">
        <v>1779</v>
      </c>
      <c r="D6" s="34" t="s">
        <v>1780</v>
      </c>
      <c r="E6" s="34" t="s">
        <v>1781</v>
      </c>
      <c r="F6" s="34" t="s">
        <v>1782</v>
      </c>
      <c r="G6" s="34" t="s">
        <v>1783</v>
      </c>
      <c r="H6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1784</v>
      </c>
      <c r="B2" s="34" t="s">
        <v>36</v>
      </c>
      <c r="C2" s="34" t="s">
        <v>1785</v>
      </c>
      <c r="D2" s="34" t="s">
        <v>1786</v>
      </c>
      <c r="E2" s="34" t="s">
        <v>1786</v>
      </c>
      <c r="F2" s="34" t="s">
        <v>1786</v>
      </c>
      <c r="G2" s="34" t="s">
        <v>1786</v>
      </c>
      <c r="H2" s="34" t="s">
        <v>60</v>
      </c>
    </row>
    <row r="3" customFormat="false" ht="15.75" hidden="false" customHeight="false" outlineLevel="0" collapsed="false">
      <c r="A3" s="34" t="s">
        <v>1787</v>
      </c>
      <c r="B3" s="34" t="s">
        <v>36</v>
      </c>
      <c r="C3" s="34" t="s">
        <v>1788</v>
      </c>
      <c r="D3" s="34" t="s">
        <v>1789</v>
      </c>
      <c r="E3" s="34" t="s">
        <v>1789</v>
      </c>
      <c r="F3" s="34" t="s">
        <v>1789</v>
      </c>
      <c r="G3" s="34" t="s">
        <v>1789</v>
      </c>
      <c r="H3" s="34" t="s">
        <v>60</v>
      </c>
    </row>
    <row r="4" customFormat="false" ht="15.75" hidden="false" customHeight="false" outlineLevel="0" collapsed="false">
      <c r="A4" s="34" t="s">
        <v>1790</v>
      </c>
      <c r="B4" s="34" t="s">
        <v>36</v>
      </c>
      <c r="C4" s="34" t="s">
        <v>1791</v>
      </c>
      <c r="D4" s="34" t="s">
        <v>1792</v>
      </c>
      <c r="E4" s="34" t="s">
        <v>1792</v>
      </c>
      <c r="F4" s="34" t="s">
        <v>1792</v>
      </c>
      <c r="G4" s="34" t="s">
        <v>1792</v>
      </c>
      <c r="H4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1793</v>
      </c>
      <c r="B2" s="34" t="s">
        <v>1794</v>
      </c>
      <c r="C2" s="34" t="s">
        <v>1795</v>
      </c>
      <c r="D2" s="34" t="s">
        <v>1796</v>
      </c>
      <c r="E2" s="34" t="s">
        <v>1797</v>
      </c>
      <c r="F2" s="34" t="s">
        <v>1798</v>
      </c>
      <c r="G2" s="34" t="s">
        <v>1799</v>
      </c>
      <c r="H2" s="34" t="s">
        <v>60</v>
      </c>
    </row>
    <row r="3" customFormat="false" ht="15.75" hidden="false" customHeight="false" outlineLevel="0" collapsed="false">
      <c r="A3" s="34" t="s">
        <v>1800</v>
      </c>
      <c r="B3" s="34" t="s">
        <v>1794</v>
      </c>
      <c r="C3" s="34" t="s">
        <v>1801</v>
      </c>
      <c r="D3" s="34" t="s">
        <v>1802</v>
      </c>
      <c r="E3" s="34" t="s">
        <v>1803</v>
      </c>
      <c r="F3" s="34" t="s">
        <v>1804</v>
      </c>
      <c r="G3" s="34" t="s">
        <v>1805</v>
      </c>
      <c r="H3" s="34" t="s">
        <v>60</v>
      </c>
    </row>
    <row r="4" customFormat="false" ht="15.75" hidden="false" customHeight="false" outlineLevel="0" collapsed="false">
      <c r="A4" s="34" t="s">
        <v>1806</v>
      </c>
      <c r="B4" s="34" t="s">
        <v>1794</v>
      </c>
      <c r="C4" s="34" t="s">
        <v>1807</v>
      </c>
      <c r="D4" s="34" t="s">
        <v>1808</v>
      </c>
      <c r="E4" s="34" t="s">
        <v>1809</v>
      </c>
      <c r="F4" s="34" t="s">
        <v>1810</v>
      </c>
      <c r="G4" s="34" t="s">
        <v>1811</v>
      </c>
      <c r="H4" s="34" t="s">
        <v>60</v>
      </c>
    </row>
    <row r="5" customFormat="false" ht="15.75" hidden="false" customHeight="false" outlineLevel="0" collapsed="false">
      <c r="A5" s="34" t="s">
        <v>1812</v>
      </c>
      <c r="B5" s="34" t="s">
        <v>1794</v>
      </c>
      <c r="C5" s="34" t="s">
        <v>1813</v>
      </c>
      <c r="D5" s="34" t="s">
        <v>1814</v>
      </c>
      <c r="E5" s="34" t="s">
        <v>1815</v>
      </c>
      <c r="F5" s="34" t="s">
        <v>1816</v>
      </c>
      <c r="G5" s="34" t="s">
        <v>1817</v>
      </c>
      <c r="H5" s="34" t="s">
        <v>60</v>
      </c>
    </row>
    <row r="6" customFormat="false" ht="15.75" hidden="false" customHeight="false" outlineLevel="0" collapsed="false">
      <c r="A6" s="34" t="s">
        <v>1818</v>
      </c>
      <c r="B6" s="34" t="s">
        <v>1794</v>
      </c>
      <c r="C6" s="34" t="s">
        <v>1819</v>
      </c>
      <c r="D6" s="34" t="s">
        <v>1820</v>
      </c>
      <c r="E6" s="34" t="s">
        <v>1821</v>
      </c>
      <c r="F6" s="34" t="s">
        <v>1822</v>
      </c>
      <c r="G6" s="34" t="s">
        <v>1823</v>
      </c>
      <c r="H6" s="34" t="s">
        <v>60</v>
      </c>
    </row>
    <row r="7" customFormat="false" ht="15.75" hidden="false" customHeight="false" outlineLevel="0" collapsed="false">
      <c r="A7" s="34" t="s">
        <v>1824</v>
      </c>
      <c r="B7" s="34" t="s">
        <v>1794</v>
      </c>
      <c r="C7" s="34" t="s">
        <v>1825</v>
      </c>
      <c r="D7" s="34" t="s">
        <v>1826</v>
      </c>
      <c r="E7" s="34" t="s">
        <v>1827</v>
      </c>
      <c r="F7" s="34" t="s">
        <v>1828</v>
      </c>
      <c r="G7" s="34" t="s">
        <v>1829</v>
      </c>
      <c r="H7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1830</v>
      </c>
      <c r="B2" s="34" t="s">
        <v>1831</v>
      </c>
      <c r="C2" s="34" t="s">
        <v>1832</v>
      </c>
      <c r="D2" s="34" t="s">
        <v>1833</v>
      </c>
      <c r="E2" s="34" t="s">
        <v>1834</v>
      </c>
      <c r="F2" s="34" t="s">
        <v>1835</v>
      </c>
      <c r="G2" s="34" t="s">
        <v>1836</v>
      </c>
      <c r="H2" s="34" t="s">
        <v>60</v>
      </c>
    </row>
    <row r="3" customFormat="false" ht="15.75" hidden="false" customHeight="false" outlineLevel="0" collapsed="false">
      <c r="A3" s="34" t="s">
        <v>1837</v>
      </c>
      <c r="B3" s="34" t="s">
        <v>1831</v>
      </c>
      <c r="C3" s="34" t="s">
        <v>1832</v>
      </c>
      <c r="D3" s="34" t="s">
        <v>1838</v>
      </c>
      <c r="E3" s="34" t="s">
        <v>1839</v>
      </c>
      <c r="F3" s="34" t="s">
        <v>1840</v>
      </c>
      <c r="G3" s="34" t="s">
        <v>1841</v>
      </c>
      <c r="H3" s="34" t="s">
        <v>60</v>
      </c>
    </row>
    <row r="4" customFormat="false" ht="15.75" hidden="false" customHeight="false" outlineLevel="0" collapsed="false">
      <c r="A4" s="34" t="s">
        <v>1842</v>
      </c>
      <c r="B4" s="34" t="s">
        <v>1831</v>
      </c>
      <c r="C4" s="34" t="s">
        <v>1843</v>
      </c>
      <c r="D4" s="34" t="s">
        <v>1844</v>
      </c>
      <c r="E4" s="34" t="s">
        <v>1845</v>
      </c>
      <c r="F4" s="34" t="s">
        <v>1846</v>
      </c>
      <c r="G4" s="34" t="s">
        <v>1847</v>
      </c>
      <c r="H4" s="34" t="s">
        <v>60</v>
      </c>
    </row>
    <row r="5" customFormat="false" ht="15.75" hidden="false" customHeight="false" outlineLevel="0" collapsed="false">
      <c r="A5" s="34" t="s">
        <v>1848</v>
      </c>
      <c r="B5" s="34" t="s">
        <v>1831</v>
      </c>
      <c r="C5" s="34" t="s">
        <v>1843</v>
      </c>
      <c r="D5" s="34" t="s">
        <v>1849</v>
      </c>
      <c r="E5" s="34" t="s">
        <v>1850</v>
      </c>
      <c r="F5" s="34" t="s">
        <v>1851</v>
      </c>
      <c r="G5" s="34" t="s">
        <v>1852</v>
      </c>
      <c r="H5" s="34" t="s">
        <v>60</v>
      </c>
    </row>
    <row r="6" customFormat="false" ht="15.75" hidden="false" customHeight="false" outlineLevel="0" collapsed="false">
      <c r="A6" s="34" t="s">
        <v>1853</v>
      </c>
      <c r="B6" s="34" t="s">
        <v>1831</v>
      </c>
      <c r="C6" s="34" t="s">
        <v>1854</v>
      </c>
      <c r="D6" s="34" t="s">
        <v>1855</v>
      </c>
      <c r="E6" s="34" t="s">
        <v>1856</v>
      </c>
      <c r="F6" s="34" t="s">
        <v>1857</v>
      </c>
      <c r="G6" s="34" t="s">
        <v>1858</v>
      </c>
      <c r="H6" s="34" t="s">
        <v>60</v>
      </c>
    </row>
    <row r="7" customFormat="false" ht="15.75" hidden="false" customHeight="false" outlineLevel="0" collapsed="false">
      <c r="A7" s="34" t="s">
        <v>1859</v>
      </c>
      <c r="B7" s="34" t="s">
        <v>1831</v>
      </c>
      <c r="C7" s="34" t="s">
        <v>1854</v>
      </c>
      <c r="D7" s="34" t="s">
        <v>1860</v>
      </c>
      <c r="E7" s="34" t="s">
        <v>1861</v>
      </c>
      <c r="F7" s="34" t="s">
        <v>1862</v>
      </c>
      <c r="G7" s="34" t="s">
        <v>1863</v>
      </c>
      <c r="H7" s="34" t="s">
        <v>60</v>
      </c>
    </row>
    <row r="8" customFormat="false" ht="15.75" hidden="false" customHeight="false" outlineLevel="0" collapsed="false">
      <c r="A8" s="34" t="s">
        <v>1864</v>
      </c>
      <c r="B8" s="34" t="s">
        <v>1831</v>
      </c>
      <c r="C8" s="34" t="s">
        <v>1865</v>
      </c>
      <c r="D8" s="34" t="s">
        <v>1866</v>
      </c>
      <c r="E8" s="34" t="s">
        <v>1867</v>
      </c>
      <c r="F8" s="34" t="s">
        <v>1868</v>
      </c>
      <c r="G8" s="34" t="s">
        <v>1869</v>
      </c>
      <c r="H8" s="34" t="s">
        <v>60</v>
      </c>
    </row>
    <row r="9" customFormat="false" ht="15.75" hidden="false" customHeight="false" outlineLevel="0" collapsed="false">
      <c r="A9" s="34" t="s">
        <v>1870</v>
      </c>
      <c r="B9" s="34" t="s">
        <v>1831</v>
      </c>
      <c r="C9" s="34" t="s">
        <v>1865</v>
      </c>
      <c r="D9" s="34" t="s">
        <v>1871</v>
      </c>
      <c r="E9" s="34" t="s">
        <v>1872</v>
      </c>
      <c r="F9" s="34" t="s">
        <v>1873</v>
      </c>
      <c r="G9" s="34" t="s">
        <v>1874</v>
      </c>
      <c r="H9" s="34" t="s">
        <v>60</v>
      </c>
    </row>
    <row r="10" customFormat="false" ht="15.75" hidden="false" customHeight="false" outlineLevel="0" collapsed="false">
      <c r="A10" s="34" t="s">
        <v>1875</v>
      </c>
      <c r="B10" s="34" t="s">
        <v>1831</v>
      </c>
      <c r="C10" s="34" t="s">
        <v>1876</v>
      </c>
      <c r="D10" s="34" t="s">
        <v>1877</v>
      </c>
      <c r="E10" s="34" t="s">
        <v>1878</v>
      </c>
      <c r="F10" s="34" t="s">
        <v>1879</v>
      </c>
      <c r="G10" s="34" t="s">
        <v>1880</v>
      </c>
      <c r="H10" s="34" t="s">
        <v>60</v>
      </c>
    </row>
    <row r="11" customFormat="false" ht="15.75" hidden="false" customHeight="false" outlineLevel="0" collapsed="false">
      <c r="A11" s="34" t="s">
        <v>1881</v>
      </c>
      <c r="B11" s="34" t="s">
        <v>1831</v>
      </c>
      <c r="C11" s="34" t="s">
        <v>1876</v>
      </c>
      <c r="D11" s="34" t="s">
        <v>1882</v>
      </c>
      <c r="E11" s="34" t="s">
        <v>1883</v>
      </c>
      <c r="F11" s="34" t="s">
        <v>1884</v>
      </c>
      <c r="G11" s="34" t="s">
        <v>1885</v>
      </c>
      <c r="H11" s="34" t="s">
        <v>60</v>
      </c>
    </row>
    <row r="12" customFormat="false" ht="15.75" hidden="false" customHeight="false" outlineLevel="0" collapsed="false">
      <c r="A12" s="34" t="s">
        <v>1886</v>
      </c>
      <c r="B12" s="34" t="s">
        <v>1831</v>
      </c>
      <c r="C12" s="34" t="s">
        <v>1887</v>
      </c>
      <c r="D12" s="34" t="s">
        <v>1888</v>
      </c>
      <c r="E12" s="34" t="s">
        <v>1889</v>
      </c>
      <c r="F12" s="34" t="s">
        <v>1890</v>
      </c>
      <c r="G12" s="34" t="s">
        <v>1891</v>
      </c>
      <c r="H12" s="34" t="s">
        <v>60</v>
      </c>
    </row>
    <row r="13" customFormat="false" ht="15.75" hidden="false" customHeight="false" outlineLevel="0" collapsed="false">
      <c r="A13" s="34" t="s">
        <v>1892</v>
      </c>
      <c r="B13" s="34" t="s">
        <v>1831</v>
      </c>
      <c r="C13" s="34" t="s">
        <v>1887</v>
      </c>
      <c r="D13" s="34" t="s">
        <v>1893</v>
      </c>
      <c r="E13" s="34" t="s">
        <v>1894</v>
      </c>
      <c r="F13" s="34" t="s">
        <v>1895</v>
      </c>
      <c r="G13" s="34" t="s">
        <v>1896</v>
      </c>
      <c r="H13" s="34" t="s">
        <v>60</v>
      </c>
    </row>
    <row r="14" customFormat="false" ht="15.75" hidden="false" customHeight="false" outlineLevel="0" collapsed="false">
      <c r="A14" s="34" t="s">
        <v>1897</v>
      </c>
      <c r="B14" s="34" t="s">
        <v>1831</v>
      </c>
      <c r="C14" s="34" t="s">
        <v>1898</v>
      </c>
      <c r="D14" s="34" t="s">
        <v>1899</v>
      </c>
      <c r="E14" s="34" t="s">
        <v>1900</v>
      </c>
      <c r="F14" s="34" t="s">
        <v>1901</v>
      </c>
      <c r="G14" s="34" t="s">
        <v>1902</v>
      </c>
      <c r="H14" s="34" t="s">
        <v>60</v>
      </c>
    </row>
    <row r="15" customFormat="false" ht="15.75" hidden="false" customHeight="false" outlineLevel="0" collapsed="false">
      <c r="A15" s="34" t="s">
        <v>1903</v>
      </c>
      <c r="B15" s="34" t="s">
        <v>1831</v>
      </c>
      <c r="C15" s="34" t="s">
        <v>1898</v>
      </c>
      <c r="D15" s="34" t="s">
        <v>1904</v>
      </c>
      <c r="E15" s="34" t="s">
        <v>1905</v>
      </c>
      <c r="F15" s="34" t="s">
        <v>1906</v>
      </c>
      <c r="G15" s="34" t="s">
        <v>1907</v>
      </c>
      <c r="H15" s="34" t="s">
        <v>60</v>
      </c>
    </row>
    <row r="16" customFormat="false" ht="15.75" hidden="false" customHeight="false" outlineLevel="0" collapsed="false">
      <c r="A16" s="34" t="s">
        <v>1908</v>
      </c>
      <c r="B16" s="34" t="s">
        <v>1831</v>
      </c>
      <c r="C16" s="34" t="s">
        <v>1909</v>
      </c>
      <c r="D16" s="34" t="s">
        <v>1910</v>
      </c>
      <c r="E16" s="34" t="s">
        <v>1911</v>
      </c>
      <c r="F16" s="34" t="s">
        <v>1912</v>
      </c>
      <c r="G16" s="34" t="s">
        <v>1913</v>
      </c>
      <c r="H16" s="34" t="s">
        <v>60</v>
      </c>
    </row>
    <row r="17" customFormat="false" ht="15.75" hidden="false" customHeight="false" outlineLevel="0" collapsed="false">
      <c r="A17" s="34" t="s">
        <v>1914</v>
      </c>
      <c r="B17" s="34" t="s">
        <v>1831</v>
      </c>
      <c r="C17" s="34" t="s">
        <v>1909</v>
      </c>
      <c r="D17" s="34" t="s">
        <v>1915</v>
      </c>
      <c r="E17" s="34" t="s">
        <v>1916</v>
      </c>
      <c r="F17" s="34" t="s">
        <v>1917</v>
      </c>
      <c r="G17" s="34" t="s">
        <v>1918</v>
      </c>
      <c r="H17" s="34" t="s">
        <v>60</v>
      </c>
    </row>
    <row r="18" customFormat="false" ht="15.75" hidden="false" customHeight="false" outlineLevel="0" collapsed="false">
      <c r="A18" s="34" t="s">
        <v>1919</v>
      </c>
      <c r="B18" s="34" t="s">
        <v>1831</v>
      </c>
      <c r="C18" s="34" t="s">
        <v>1920</v>
      </c>
      <c r="D18" s="34" t="s">
        <v>1921</v>
      </c>
      <c r="E18" s="34" t="s">
        <v>1922</v>
      </c>
      <c r="F18" s="34" t="s">
        <v>1923</v>
      </c>
      <c r="G18" s="34" t="s">
        <v>1924</v>
      </c>
      <c r="H18" s="34" t="s">
        <v>60</v>
      </c>
    </row>
    <row r="19" customFormat="false" ht="15.75" hidden="false" customHeight="false" outlineLevel="0" collapsed="false">
      <c r="A19" s="34" t="s">
        <v>1925</v>
      </c>
      <c r="B19" s="34" t="s">
        <v>1831</v>
      </c>
      <c r="C19" s="34" t="s">
        <v>1920</v>
      </c>
      <c r="D19" s="34" t="s">
        <v>1926</v>
      </c>
      <c r="E19" s="34" t="s">
        <v>1927</v>
      </c>
      <c r="F19" s="34" t="s">
        <v>1928</v>
      </c>
      <c r="G19" s="34" t="s">
        <v>1929</v>
      </c>
      <c r="H19" s="34" t="s">
        <v>60</v>
      </c>
    </row>
    <row r="20" customFormat="false" ht="15.75" hidden="false" customHeight="false" outlineLevel="0" collapsed="false">
      <c r="A20" s="34" t="s">
        <v>1930</v>
      </c>
      <c r="B20" s="34" t="s">
        <v>1831</v>
      </c>
      <c r="C20" s="34" t="s">
        <v>1931</v>
      </c>
      <c r="D20" s="34" t="s">
        <v>1932</v>
      </c>
      <c r="E20" s="34" t="s">
        <v>1933</v>
      </c>
      <c r="F20" s="34" t="s">
        <v>1934</v>
      </c>
      <c r="G20" s="34" t="s">
        <v>1935</v>
      </c>
      <c r="H20" s="34" t="s">
        <v>60</v>
      </c>
    </row>
    <row r="21" customFormat="false" ht="15.75" hidden="false" customHeight="false" outlineLevel="0" collapsed="false">
      <c r="A21" s="34" t="s">
        <v>1936</v>
      </c>
      <c r="B21" s="34" t="s">
        <v>1831</v>
      </c>
      <c r="C21" s="34" t="s">
        <v>1931</v>
      </c>
      <c r="D21" s="34" t="s">
        <v>1937</v>
      </c>
      <c r="E21" s="34" t="s">
        <v>1938</v>
      </c>
      <c r="F21" s="34" t="s">
        <v>1939</v>
      </c>
      <c r="G21" s="34" t="s">
        <v>1940</v>
      </c>
      <c r="H21" s="34" t="s">
        <v>60</v>
      </c>
    </row>
    <row r="22" customFormat="false" ht="15.75" hidden="false" customHeight="false" outlineLevel="0" collapsed="false">
      <c r="A22" s="34" t="s">
        <v>1941</v>
      </c>
      <c r="B22" s="34" t="s">
        <v>1831</v>
      </c>
      <c r="C22" s="34" t="s">
        <v>1942</v>
      </c>
      <c r="D22" s="34" t="s">
        <v>1943</v>
      </c>
      <c r="E22" s="34" t="s">
        <v>1944</v>
      </c>
      <c r="F22" s="34" t="s">
        <v>1945</v>
      </c>
      <c r="G22" s="34" t="s">
        <v>1946</v>
      </c>
      <c r="H22" s="34" t="s">
        <v>60</v>
      </c>
    </row>
    <row r="23" customFormat="false" ht="15.75" hidden="false" customHeight="false" outlineLevel="0" collapsed="false">
      <c r="A23" s="34" t="s">
        <v>1947</v>
      </c>
      <c r="B23" s="34" t="s">
        <v>1831</v>
      </c>
      <c r="C23" s="34" t="s">
        <v>1942</v>
      </c>
      <c r="D23" s="34" t="s">
        <v>1948</v>
      </c>
      <c r="E23" s="34" t="s">
        <v>1949</v>
      </c>
      <c r="F23" s="34" t="s">
        <v>1950</v>
      </c>
      <c r="G23" s="34" t="s">
        <v>1951</v>
      </c>
      <c r="H23" s="34" t="s">
        <v>60</v>
      </c>
    </row>
    <row r="24" customFormat="false" ht="15.75" hidden="false" customHeight="false" outlineLevel="0" collapsed="false">
      <c r="A24" s="34" t="s">
        <v>1952</v>
      </c>
      <c r="B24" s="34" t="s">
        <v>1831</v>
      </c>
      <c r="C24" s="34" t="s">
        <v>1953</v>
      </c>
      <c r="D24" s="34" t="s">
        <v>1954</v>
      </c>
      <c r="E24" s="34" t="s">
        <v>1955</v>
      </c>
      <c r="F24" s="34" t="s">
        <v>1956</v>
      </c>
      <c r="G24" s="34" t="s">
        <v>1957</v>
      </c>
      <c r="H24" s="34" t="s">
        <v>60</v>
      </c>
    </row>
    <row r="25" customFormat="false" ht="15.75" hidden="false" customHeight="false" outlineLevel="0" collapsed="false">
      <c r="A25" s="34" t="s">
        <v>1958</v>
      </c>
      <c r="B25" s="34" t="s">
        <v>1831</v>
      </c>
      <c r="C25" s="34" t="s">
        <v>1953</v>
      </c>
      <c r="D25" s="34" t="s">
        <v>1959</v>
      </c>
      <c r="E25" s="34" t="s">
        <v>1960</v>
      </c>
      <c r="F25" s="34" t="s">
        <v>1961</v>
      </c>
      <c r="G25" s="34" t="s">
        <v>1962</v>
      </c>
      <c r="H25" s="34" t="s">
        <v>60</v>
      </c>
    </row>
    <row r="26" customFormat="false" ht="15.75" hidden="false" customHeight="false" outlineLevel="0" collapsed="false">
      <c r="A26" s="34" t="s">
        <v>1963</v>
      </c>
      <c r="B26" s="34" t="s">
        <v>1831</v>
      </c>
      <c r="C26" s="34" t="s">
        <v>1964</v>
      </c>
      <c r="D26" s="34" t="s">
        <v>1965</v>
      </c>
      <c r="E26" s="34" t="s">
        <v>1966</v>
      </c>
      <c r="F26" s="34" t="s">
        <v>1967</v>
      </c>
      <c r="G26" s="34" t="s">
        <v>1968</v>
      </c>
      <c r="H26" s="34" t="s">
        <v>60</v>
      </c>
    </row>
    <row r="27" customFormat="false" ht="15.75" hidden="false" customHeight="false" outlineLevel="0" collapsed="false">
      <c r="A27" s="34" t="s">
        <v>1969</v>
      </c>
      <c r="B27" s="34" t="s">
        <v>1831</v>
      </c>
      <c r="C27" s="34" t="s">
        <v>1964</v>
      </c>
      <c r="D27" s="34" t="s">
        <v>1970</v>
      </c>
      <c r="E27" s="34" t="s">
        <v>1971</v>
      </c>
      <c r="F27" s="34" t="s">
        <v>1972</v>
      </c>
      <c r="G27" s="34" t="s">
        <v>1973</v>
      </c>
      <c r="H27" s="34" t="s">
        <v>60</v>
      </c>
    </row>
    <row r="28" customFormat="false" ht="15.75" hidden="false" customHeight="false" outlineLevel="0" collapsed="false">
      <c r="A28" s="34" t="s">
        <v>1974</v>
      </c>
      <c r="B28" s="34" t="s">
        <v>1831</v>
      </c>
      <c r="C28" s="34" t="s">
        <v>1975</v>
      </c>
      <c r="D28" s="34" t="s">
        <v>1976</v>
      </c>
      <c r="E28" s="34" t="s">
        <v>1977</v>
      </c>
      <c r="F28" s="34" t="s">
        <v>1978</v>
      </c>
      <c r="G28" s="34" t="s">
        <v>1979</v>
      </c>
      <c r="H28" s="34" t="s">
        <v>60</v>
      </c>
    </row>
    <row r="29" customFormat="false" ht="15.75" hidden="false" customHeight="false" outlineLevel="0" collapsed="false">
      <c r="A29" s="34" t="s">
        <v>1980</v>
      </c>
      <c r="B29" s="34" t="s">
        <v>1831</v>
      </c>
      <c r="C29" s="34" t="s">
        <v>1975</v>
      </c>
      <c r="D29" s="34" t="s">
        <v>1981</v>
      </c>
      <c r="E29" s="34" t="s">
        <v>1982</v>
      </c>
      <c r="F29" s="34" t="s">
        <v>1983</v>
      </c>
      <c r="G29" s="34" t="s">
        <v>1984</v>
      </c>
      <c r="H29" s="34" t="s">
        <v>60</v>
      </c>
    </row>
    <row r="30" customFormat="false" ht="15.75" hidden="false" customHeight="false" outlineLevel="0" collapsed="false">
      <c r="A30" s="34" t="s">
        <v>1985</v>
      </c>
      <c r="B30" s="34" t="s">
        <v>1831</v>
      </c>
      <c r="C30" s="34" t="s">
        <v>1986</v>
      </c>
      <c r="D30" s="34" t="s">
        <v>1987</v>
      </c>
      <c r="E30" s="34" t="s">
        <v>1988</v>
      </c>
      <c r="F30" s="34" t="s">
        <v>1989</v>
      </c>
      <c r="G30" s="34" t="s">
        <v>1990</v>
      </c>
      <c r="H30" s="34" t="s">
        <v>60</v>
      </c>
    </row>
    <row r="31" customFormat="false" ht="15.75" hidden="false" customHeight="false" outlineLevel="0" collapsed="false">
      <c r="A31" s="34" t="s">
        <v>1991</v>
      </c>
      <c r="B31" s="34" t="s">
        <v>1831</v>
      </c>
      <c r="C31" s="34" t="s">
        <v>1992</v>
      </c>
      <c r="D31" s="34" t="s">
        <v>1993</v>
      </c>
      <c r="E31" s="34" t="s">
        <v>1994</v>
      </c>
      <c r="F31" s="34" t="s">
        <v>1995</v>
      </c>
      <c r="G31" s="34" t="s">
        <v>1996</v>
      </c>
      <c r="H31" s="34" t="s">
        <v>60</v>
      </c>
    </row>
    <row r="32" customFormat="false" ht="15.75" hidden="false" customHeight="false" outlineLevel="0" collapsed="false">
      <c r="A32" s="34" t="s">
        <v>1997</v>
      </c>
      <c r="B32" s="34" t="s">
        <v>1831</v>
      </c>
      <c r="C32" s="34" t="s">
        <v>1992</v>
      </c>
      <c r="D32" s="34" t="s">
        <v>1998</v>
      </c>
      <c r="E32" s="34" t="s">
        <v>1999</v>
      </c>
      <c r="F32" s="34" t="s">
        <v>2000</v>
      </c>
      <c r="G32" s="34" t="s">
        <v>2001</v>
      </c>
      <c r="H32" s="34" t="s">
        <v>60</v>
      </c>
    </row>
    <row r="33" customFormat="false" ht="15.75" hidden="false" customHeight="false" outlineLevel="0" collapsed="false">
      <c r="A33" s="34" t="s">
        <v>2002</v>
      </c>
      <c r="B33" s="34" t="s">
        <v>1831</v>
      </c>
      <c r="C33" s="34" t="s">
        <v>2003</v>
      </c>
      <c r="D33" s="34" t="s">
        <v>2004</v>
      </c>
      <c r="E33" s="34" t="s">
        <v>2005</v>
      </c>
      <c r="F33" s="34" t="s">
        <v>2006</v>
      </c>
      <c r="G33" s="34" t="s">
        <v>2007</v>
      </c>
      <c r="H33" s="34" t="s">
        <v>60</v>
      </c>
    </row>
    <row r="34" customFormat="false" ht="15.75" hidden="false" customHeight="false" outlineLevel="0" collapsed="false">
      <c r="A34" s="34" t="s">
        <v>2008</v>
      </c>
      <c r="B34" s="34" t="s">
        <v>1831</v>
      </c>
      <c r="C34" s="34" t="s">
        <v>2003</v>
      </c>
      <c r="D34" s="34" t="s">
        <v>2009</v>
      </c>
      <c r="E34" s="34" t="s">
        <v>2010</v>
      </c>
      <c r="F34" s="34" t="s">
        <v>2011</v>
      </c>
      <c r="G34" s="34" t="s">
        <v>2012</v>
      </c>
      <c r="H34" s="34" t="s">
        <v>60</v>
      </c>
    </row>
    <row r="35" customFormat="false" ht="15.75" hidden="false" customHeight="false" outlineLevel="0" collapsed="false">
      <c r="A35" s="34" t="s">
        <v>2013</v>
      </c>
      <c r="B35" s="34" t="s">
        <v>1831</v>
      </c>
      <c r="C35" s="34" t="s">
        <v>2014</v>
      </c>
      <c r="D35" s="34" t="s">
        <v>2015</v>
      </c>
      <c r="E35" s="34" t="s">
        <v>2016</v>
      </c>
      <c r="F35" s="34" t="s">
        <v>2017</v>
      </c>
      <c r="G35" s="34" t="s">
        <v>2018</v>
      </c>
      <c r="H35" s="34" t="s">
        <v>60</v>
      </c>
    </row>
    <row r="36" customFormat="false" ht="15.75" hidden="false" customHeight="false" outlineLevel="0" collapsed="false">
      <c r="A36" s="34" t="s">
        <v>2019</v>
      </c>
      <c r="B36" s="34" t="s">
        <v>1831</v>
      </c>
      <c r="C36" s="34" t="s">
        <v>2014</v>
      </c>
      <c r="D36" s="34" t="s">
        <v>2020</v>
      </c>
      <c r="E36" s="34" t="s">
        <v>2021</v>
      </c>
      <c r="F36" s="34" t="s">
        <v>2022</v>
      </c>
      <c r="G36" s="34" t="s">
        <v>2023</v>
      </c>
      <c r="H36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2024</v>
      </c>
    </row>
    <row r="2" customFormat="false" ht="15.75" hidden="false" customHeight="false" outlineLevel="0" collapsed="false">
      <c r="A2" s="23" t="s">
        <v>115</v>
      </c>
    </row>
    <row r="3" customFormat="false" ht="15.75" hidden="false" customHeight="false" outlineLevel="0" collapsed="false">
      <c r="A3" s="16" t="s">
        <v>2025</v>
      </c>
    </row>
    <row r="4" customFormat="false" ht="15.75" hidden="false" customHeight="false" outlineLevel="0" collapsed="false">
      <c r="A4" s="17" t="n">
        <v>12297</v>
      </c>
    </row>
    <row r="5" customFormat="false" ht="15.75" hidden="false" customHeight="false" outlineLevel="0" collapsed="false">
      <c r="A5" s="16" t="s">
        <v>2026</v>
      </c>
    </row>
    <row r="6" customFormat="false" ht="15.75" hidden="false" customHeight="false" outlineLevel="0" collapsed="false">
      <c r="A6" s="17" t="n">
        <v>21999</v>
      </c>
    </row>
    <row r="7" customFormat="false" ht="15.75" hidden="false" customHeight="false" outlineLevel="0" collapsed="false">
      <c r="A7" s="16" t="s">
        <v>2027</v>
      </c>
    </row>
    <row r="8" customFormat="false" ht="15.75" hidden="false" customHeight="false" outlineLevel="0" collapsed="false">
      <c r="A8" s="17" t="n">
        <v>26986</v>
      </c>
    </row>
    <row r="9" customFormat="false" ht="15.75" hidden="false" customHeight="false" outlineLevel="0" collapsed="false">
      <c r="A9" s="16" t="s">
        <v>2028</v>
      </c>
    </row>
    <row r="10" customFormat="false" ht="15.75" hidden="false" customHeight="false" outlineLevel="0" collapsed="false">
      <c r="A10" s="17" t="n">
        <v>31762</v>
      </c>
    </row>
    <row r="11" customFormat="false" ht="15.75" hidden="false" customHeight="false" outlineLevel="0" collapsed="false">
      <c r="A11" s="16" t="s">
        <v>2029</v>
      </c>
    </row>
    <row r="12" customFormat="false" ht="15.75" hidden="false" customHeight="false" outlineLevel="0" collapsed="false">
      <c r="A12" s="17" t="n">
        <v>36975</v>
      </c>
    </row>
    <row r="13" customFormat="false" ht="15.75" hidden="false" customHeight="false" outlineLevel="0" collapsed="false">
      <c r="A13" s="16" t="s">
        <v>2030</v>
      </c>
    </row>
    <row r="14" customFormat="false" ht="15.75" hidden="false" customHeight="false" outlineLevel="0" collapsed="false">
      <c r="A14" s="17" t="n">
        <v>41494</v>
      </c>
    </row>
    <row r="15" customFormat="false" ht="15.75" hidden="false" customHeight="false" outlineLevel="0" collapsed="false">
      <c r="A15" s="16" t="s">
        <v>2031</v>
      </c>
    </row>
    <row r="16" customFormat="false" ht="15.75" hidden="false" customHeight="false" outlineLevel="0" collapsed="false">
      <c r="A16" s="17" t="n">
        <v>46950</v>
      </c>
    </row>
    <row r="17" customFormat="false" ht="15.75" hidden="false" customHeight="false" outlineLevel="0" collapsed="false">
      <c r="A17" s="16" t="s">
        <v>2032</v>
      </c>
    </row>
    <row r="18" customFormat="false" ht="15.75" hidden="false" customHeight="false" outlineLevel="0" collapsed="false">
      <c r="A18" s="17" t="n">
        <v>51907</v>
      </c>
    </row>
    <row r="19" customFormat="false" ht="15.75" hidden="false" customHeight="false" outlineLevel="0" collapsed="false">
      <c r="A19" s="16" t="s">
        <v>2033</v>
      </c>
    </row>
    <row r="20" customFormat="false" ht="15.75" hidden="false" customHeight="false" outlineLevel="0" collapsed="false">
      <c r="A20" s="17" t="n">
        <v>56944</v>
      </c>
    </row>
    <row r="21" customFormat="false" ht="15.75" hidden="false" customHeight="false" outlineLevel="0" collapsed="false">
      <c r="A21" s="16" t="s">
        <v>2034</v>
      </c>
    </row>
    <row r="22" customFormat="false" ht="15.75" hidden="false" customHeight="false" outlineLevel="0" collapsed="false">
      <c r="A22" s="17" t="n">
        <v>61911</v>
      </c>
    </row>
    <row r="23" customFormat="false" ht="15.75" hidden="false" customHeight="false" outlineLevel="0" collapsed="false">
      <c r="A23" s="16" t="s">
        <v>2035</v>
      </c>
    </row>
    <row r="24" customFormat="false" ht="15.75" hidden="false" customHeight="false" outlineLevel="0" collapsed="false">
      <c r="A24" s="17" t="n">
        <v>66893</v>
      </c>
    </row>
    <row r="25" customFormat="false" ht="15.75" hidden="false" customHeight="false" outlineLevel="0" collapsed="false">
      <c r="A25" s="16" t="s">
        <v>2036</v>
      </c>
    </row>
    <row r="26" customFormat="false" ht="15.75" hidden="false" customHeight="false" outlineLevel="0" collapsed="false">
      <c r="A26" s="17" t="n">
        <v>71875</v>
      </c>
    </row>
    <row r="27" customFormat="false" ht="15.75" hidden="false" customHeight="false" outlineLevel="0" collapsed="false">
      <c r="A27" s="16" t="s">
        <v>2037</v>
      </c>
    </row>
    <row r="28" customFormat="false" ht="15.75" hidden="false" customHeight="false" outlineLevel="0" collapsed="false">
      <c r="A28" s="17" t="n">
        <v>75487</v>
      </c>
    </row>
    <row r="29" customFormat="false" ht="15.75" hidden="false" customHeight="false" outlineLevel="0" collapsed="false">
      <c r="A29" s="16" t="s">
        <v>2038</v>
      </c>
    </row>
    <row r="30" customFormat="false" ht="15.75" hidden="false" customHeight="false" outlineLevel="0" collapsed="false">
      <c r="A30" s="17" t="n">
        <v>81849</v>
      </c>
    </row>
    <row r="31" customFormat="false" ht="15.75" hidden="false" customHeight="false" outlineLevel="0" collapsed="false">
      <c r="A31" s="16" t="s">
        <v>2039</v>
      </c>
    </row>
    <row r="32" customFormat="false" ht="15.75" hidden="false" customHeight="false" outlineLevel="0" collapsed="false">
      <c r="A32" s="17" t="n">
        <v>86832</v>
      </c>
    </row>
    <row r="33" customFormat="false" ht="15.75" hidden="false" customHeight="false" outlineLevel="0" collapsed="false">
      <c r="A33" s="16" t="s">
        <v>2040</v>
      </c>
    </row>
    <row r="34" customFormat="false" ht="15.75" hidden="false" customHeight="false" outlineLevel="0" collapsed="false">
      <c r="A34" s="17" t="n">
        <v>91819</v>
      </c>
    </row>
    <row r="35" customFormat="false" ht="15.75" hidden="false" customHeight="false" outlineLevel="0" collapsed="false">
      <c r="A35" s="16" t="s">
        <v>2041</v>
      </c>
    </row>
    <row r="36" customFormat="false" ht="15.75" hidden="false" customHeight="false" outlineLevel="0" collapsed="false">
      <c r="A36" s="17" t="n">
        <v>96811</v>
      </c>
    </row>
    <row r="37" customFormat="false" ht="15.75" hidden="false" customHeight="false" outlineLevel="0" collapsed="false">
      <c r="A37" s="16" t="s">
        <v>2042</v>
      </c>
    </row>
    <row r="38" customFormat="false" ht="15.75" hidden="false" customHeight="false" outlineLevel="0" collapsed="false">
      <c r="A38" s="17" t="n">
        <v>148264</v>
      </c>
    </row>
    <row r="39" customFormat="false" ht="15.75" hidden="false" customHeight="false" outlineLevel="0" collapsed="false">
      <c r="A39" s="16" t="s">
        <v>2043</v>
      </c>
    </row>
    <row r="40" customFormat="false" ht="15.75" hidden="false" customHeight="false" outlineLevel="0" collapsed="false">
      <c r="A40" s="17" t="n">
        <v>197934</v>
      </c>
    </row>
    <row r="41" customFormat="false" ht="15.75" hidden="false" customHeight="false" outlineLevel="0" collapsed="false">
      <c r="A41" s="16" t="s">
        <v>2044</v>
      </c>
    </row>
    <row r="42" customFormat="false" ht="15.75" hidden="false" customHeight="false" outlineLevel="0" collapsed="false">
      <c r="A42" s="17" t="n">
        <v>298734</v>
      </c>
    </row>
    <row r="43" customFormat="false" ht="15.75" hidden="false" customHeight="false" outlineLevel="0" collapsed="false">
      <c r="A43" s="16" t="s">
        <v>2045</v>
      </c>
    </row>
    <row r="44" customFormat="false" ht="15.75" hidden="false" customHeight="false" outlineLevel="0" collapsed="false">
      <c r="A44" s="17" t="n">
        <v>503783</v>
      </c>
    </row>
    <row r="45" customFormat="false" ht="15.75" hidden="false" customHeight="false" outlineLevel="0" collapsed="false">
      <c r="A45" s="16" t="s">
        <v>2046</v>
      </c>
    </row>
    <row r="46" customFormat="false" ht="15.75" hidden="false" customHeight="false" outlineLevel="0" collapsed="false">
      <c r="A46" s="17" t="n">
        <v>1005415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2047</v>
      </c>
      <c r="B2" s="34" t="s">
        <v>2048</v>
      </c>
      <c r="C2" s="34" t="s">
        <v>2049</v>
      </c>
      <c r="D2" s="34" t="s">
        <v>2050</v>
      </c>
      <c r="E2" s="34" t="s">
        <v>1840</v>
      </c>
      <c r="F2" s="34" t="s">
        <v>1841</v>
      </c>
      <c r="G2" s="34" t="s">
        <v>2051</v>
      </c>
      <c r="H2" s="34" t="s">
        <v>60</v>
      </c>
    </row>
    <row r="3" customFormat="false" ht="15.75" hidden="false" customHeight="false" outlineLevel="0" collapsed="false">
      <c r="A3" s="34" t="s">
        <v>2052</v>
      </c>
      <c r="B3" s="34" t="s">
        <v>2048</v>
      </c>
      <c r="C3" s="34" t="s">
        <v>2053</v>
      </c>
      <c r="D3" s="34" t="s">
        <v>2054</v>
      </c>
      <c r="E3" s="34" t="s">
        <v>2055</v>
      </c>
      <c r="F3" s="34" t="s">
        <v>2056</v>
      </c>
      <c r="G3" s="34" t="s">
        <v>2057</v>
      </c>
      <c r="H3" s="34" t="s">
        <v>60</v>
      </c>
    </row>
    <row r="4" customFormat="false" ht="15.75" hidden="false" customHeight="false" outlineLevel="0" collapsed="false">
      <c r="A4" s="34" t="s">
        <v>2058</v>
      </c>
      <c r="B4" s="34" t="s">
        <v>2048</v>
      </c>
      <c r="C4" s="34" t="s">
        <v>2059</v>
      </c>
      <c r="D4" s="34" t="s">
        <v>2060</v>
      </c>
      <c r="E4" s="34" t="s">
        <v>2061</v>
      </c>
      <c r="F4" s="34" t="s">
        <v>2062</v>
      </c>
      <c r="G4" s="34" t="s">
        <v>2063</v>
      </c>
      <c r="H4" s="34" t="s">
        <v>60</v>
      </c>
    </row>
    <row r="5" customFormat="false" ht="15.75" hidden="false" customHeight="false" outlineLevel="0" collapsed="false">
      <c r="A5" s="34" t="s">
        <v>2064</v>
      </c>
      <c r="B5" s="34" t="s">
        <v>2048</v>
      </c>
      <c r="C5" s="34" t="s">
        <v>2065</v>
      </c>
      <c r="D5" s="34" t="s">
        <v>2066</v>
      </c>
      <c r="E5" s="34" t="s">
        <v>2067</v>
      </c>
      <c r="F5" s="34" t="s">
        <v>2068</v>
      </c>
      <c r="G5" s="34" t="s">
        <v>2069</v>
      </c>
      <c r="H5" s="34" t="s">
        <v>60</v>
      </c>
    </row>
    <row r="6" customFormat="false" ht="15.75" hidden="false" customHeight="false" outlineLevel="0" collapsed="false">
      <c r="A6" s="34" t="s">
        <v>2070</v>
      </c>
      <c r="B6" s="34" t="s">
        <v>2048</v>
      </c>
      <c r="C6" s="34" t="s">
        <v>2071</v>
      </c>
      <c r="D6" s="34" t="s">
        <v>2072</v>
      </c>
      <c r="E6" s="34" t="s">
        <v>2073</v>
      </c>
      <c r="F6" s="34" t="s">
        <v>2074</v>
      </c>
      <c r="G6" s="34" t="s">
        <v>2075</v>
      </c>
      <c r="H6" s="34" t="s">
        <v>60</v>
      </c>
    </row>
    <row r="7" customFormat="false" ht="15.75" hidden="false" customHeight="false" outlineLevel="0" collapsed="false">
      <c r="A7" s="34" t="s">
        <v>2076</v>
      </c>
      <c r="B7" s="34" t="s">
        <v>2048</v>
      </c>
      <c r="C7" s="34" t="s">
        <v>2077</v>
      </c>
      <c r="D7" s="34" t="s">
        <v>2078</v>
      </c>
      <c r="E7" s="34" t="s">
        <v>2079</v>
      </c>
      <c r="F7" s="34" t="s">
        <v>2080</v>
      </c>
      <c r="G7" s="34" t="s">
        <v>2081</v>
      </c>
      <c r="H7" s="34" t="s">
        <v>60</v>
      </c>
    </row>
    <row r="8" customFormat="false" ht="15.75" hidden="false" customHeight="false" outlineLevel="0" collapsed="false">
      <c r="A8" s="34" t="s">
        <v>2082</v>
      </c>
      <c r="B8" s="34" t="s">
        <v>2048</v>
      </c>
      <c r="C8" s="34" t="s">
        <v>2083</v>
      </c>
      <c r="D8" s="34" t="s">
        <v>2084</v>
      </c>
      <c r="E8" s="34" t="s">
        <v>2085</v>
      </c>
      <c r="F8" s="34" t="s">
        <v>2086</v>
      </c>
      <c r="G8" s="34" t="s">
        <v>2087</v>
      </c>
      <c r="H8" s="34" t="s">
        <v>60</v>
      </c>
    </row>
    <row r="9" customFormat="false" ht="15.75" hidden="false" customHeight="false" outlineLevel="0" collapsed="false">
      <c r="A9" s="34" t="s">
        <v>2088</v>
      </c>
      <c r="B9" s="34" t="s">
        <v>2048</v>
      </c>
      <c r="C9" s="34" t="s">
        <v>2089</v>
      </c>
      <c r="D9" s="34" t="s">
        <v>2090</v>
      </c>
      <c r="E9" s="34" t="s">
        <v>2091</v>
      </c>
      <c r="F9" s="34" t="s">
        <v>1371</v>
      </c>
      <c r="G9" s="34" t="s">
        <v>2092</v>
      </c>
      <c r="H9" s="34" t="s">
        <v>60</v>
      </c>
    </row>
    <row r="10" customFormat="false" ht="15.75" hidden="false" customHeight="false" outlineLevel="0" collapsed="false">
      <c r="A10" s="34" t="s">
        <v>2093</v>
      </c>
      <c r="B10" s="34" t="s">
        <v>2048</v>
      </c>
      <c r="C10" s="34" t="s">
        <v>2094</v>
      </c>
      <c r="D10" s="34" t="s">
        <v>2095</v>
      </c>
      <c r="E10" s="34" t="s">
        <v>2096</v>
      </c>
      <c r="F10" s="34" t="s">
        <v>2097</v>
      </c>
      <c r="G10" s="34" t="s">
        <v>2098</v>
      </c>
      <c r="H10" s="34" t="s">
        <v>60</v>
      </c>
    </row>
    <row r="11" customFormat="false" ht="15.75" hidden="false" customHeight="false" outlineLevel="0" collapsed="false">
      <c r="A11" s="34" t="s">
        <v>2099</v>
      </c>
      <c r="B11" s="34" t="s">
        <v>2048</v>
      </c>
      <c r="C11" s="34" t="s">
        <v>2100</v>
      </c>
      <c r="D11" s="34" t="s">
        <v>2101</v>
      </c>
      <c r="E11" s="34" t="s">
        <v>2102</v>
      </c>
      <c r="F11" s="34" t="s">
        <v>2103</v>
      </c>
      <c r="G11" s="34" t="s">
        <v>2104</v>
      </c>
      <c r="H11" s="34" t="s">
        <v>60</v>
      </c>
    </row>
    <row r="12" customFormat="false" ht="15.75" hidden="false" customHeight="false" outlineLevel="0" collapsed="false">
      <c r="A12" s="34" t="s">
        <v>2105</v>
      </c>
      <c r="B12" s="34" t="s">
        <v>2048</v>
      </c>
      <c r="C12" s="34" t="s">
        <v>2106</v>
      </c>
      <c r="D12" s="34" t="s">
        <v>2107</v>
      </c>
      <c r="E12" s="34" t="s">
        <v>2108</v>
      </c>
      <c r="F12" s="34" t="s">
        <v>2109</v>
      </c>
      <c r="G12" s="34" t="s">
        <v>2110</v>
      </c>
      <c r="H12" s="34" t="s">
        <v>60</v>
      </c>
    </row>
    <row r="13" customFormat="false" ht="15.75" hidden="false" customHeight="false" outlineLevel="0" collapsed="false">
      <c r="A13" s="34" t="s">
        <v>2111</v>
      </c>
      <c r="B13" s="34" t="s">
        <v>2048</v>
      </c>
      <c r="C13" s="34" t="s">
        <v>2112</v>
      </c>
      <c r="D13" s="34" t="s">
        <v>2113</v>
      </c>
      <c r="E13" s="34" t="s">
        <v>2114</v>
      </c>
      <c r="F13" s="34" t="s">
        <v>2115</v>
      </c>
      <c r="G13" s="34" t="s">
        <v>2116</v>
      </c>
      <c r="H13" s="34" t="s">
        <v>60</v>
      </c>
    </row>
    <row r="14" customFormat="false" ht="15.75" hidden="false" customHeight="false" outlineLevel="0" collapsed="false">
      <c r="A14" s="34" t="s">
        <v>2117</v>
      </c>
      <c r="B14" s="34" t="s">
        <v>2048</v>
      </c>
      <c r="C14" s="34" t="s">
        <v>2118</v>
      </c>
      <c r="D14" s="34" t="s">
        <v>2119</v>
      </c>
      <c r="E14" s="34" t="s">
        <v>2120</v>
      </c>
      <c r="F14" s="34" t="s">
        <v>2121</v>
      </c>
      <c r="G14" s="34" t="s">
        <v>2122</v>
      </c>
      <c r="H14" s="34" t="s">
        <v>60</v>
      </c>
    </row>
    <row r="15" customFormat="false" ht="15.75" hidden="false" customHeight="false" outlineLevel="0" collapsed="false">
      <c r="A15" s="34" t="s">
        <v>2123</v>
      </c>
      <c r="B15" s="34" t="s">
        <v>2048</v>
      </c>
      <c r="C15" s="34" t="s">
        <v>2124</v>
      </c>
      <c r="D15" s="34" t="s">
        <v>2125</v>
      </c>
      <c r="E15" s="34" t="s">
        <v>2126</v>
      </c>
      <c r="F15" s="34" t="s">
        <v>2127</v>
      </c>
      <c r="G15" s="34" t="s">
        <v>2128</v>
      </c>
      <c r="H15" s="34" t="s">
        <v>60</v>
      </c>
    </row>
    <row r="16" customFormat="false" ht="15.75" hidden="false" customHeight="false" outlineLevel="0" collapsed="false">
      <c r="A16" s="34" t="s">
        <v>2129</v>
      </c>
      <c r="B16" s="34" t="s">
        <v>2048</v>
      </c>
      <c r="C16" s="34" t="s">
        <v>2130</v>
      </c>
      <c r="D16" s="34" t="s">
        <v>1921</v>
      </c>
      <c r="E16" s="34" t="s">
        <v>1922</v>
      </c>
      <c r="F16" s="34" t="s">
        <v>1923</v>
      </c>
      <c r="G16" s="34" t="s">
        <v>1924</v>
      </c>
      <c r="H16" s="34" t="s">
        <v>60</v>
      </c>
    </row>
    <row r="17" customFormat="false" ht="15.75" hidden="false" customHeight="false" outlineLevel="0" collapsed="false">
      <c r="A17" s="34" t="s">
        <v>2131</v>
      </c>
      <c r="B17" s="34" t="s">
        <v>2048</v>
      </c>
      <c r="C17" s="34" t="s">
        <v>2132</v>
      </c>
      <c r="D17" s="34" t="s">
        <v>2133</v>
      </c>
      <c r="E17" s="34" t="s">
        <v>2134</v>
      </c>
      <c r="F17" s="34" t="s">
        <v>2135</v>
      </c>
      <c r="G17" s="34" t="s">
        <v>2136</v>
      </c>
      <c r="H17" s="34" t="s">
        <v>60</v>
      </c>
    </row>
    <row r="18" customFormat="false" ht="15.75" hidden="false" customHeight="false" outlineLevel="0" collapsed="false">
      <c r="A18" s="34" t="s">
        <v>2137</v>
      </c>
      <c r="B18" s="34" t="s">
        <v>2048</v>
      </c>
      <c r="C18" s="34" t="s">
        <v>2138</v>
      </c>
      <c r="D18" s="34" t="s">
        <v>2139</v>
      </c>
      <c r="E18" s="34" t="s">
        <v>2140</v>
      </c>
      <c r="F18" s="34" t="s">
        <v>2141</v>
      </c>
      <c r="G18" s="34" t="s">
        <v>2142</v>
      </c>
      <c r="H18" s="34" t="s">
        <v>60</v>
      </c>
    </row>
    <row r="19" customFormat="false" ht="15.75" hidden="false" customHeight="false" outlineLevel="0" collapsed="false">
      <c r="A19" s="34" t="s">
        <v>2143</v>
      </c>
      <c r="B19" s="34" t="s">
        <v>2048</v>
      </c>
      <c r="C19" s="34" t="s">
        <v>2144</v>
      </c>
      <c r="D19" s="34" t="s">
        <v>1954</v>
      </c>
      <c r="E19" s="34" t="s">
        <v>1955</v>
      </c>
      <c r="F19" s="34" t="s">
        <v>1956</v>
      </c>
      <c r="G19" s="34" t="s">
        <v>1957</v>
      </c>
      <c r="H19" s="34" t="s">
        <v>60</v>
      </c>
    </row>
    <row r="20" customFormat="false" ht="15.75" hidden="false" customHeight="false" outlineLevel="0" collapsed="false">
      <c r="A20" s="34" t="s">
        <v>2145</v>
      </c>
      <c r="B20" s="34" t="s">
        <v>2048</v>
      </c>
      <c r="C20" s="34" t="s">
        <v>2146</v>
      </c>
      <c r="D20" s="34" t="s">
        <v>2147</v>
      </c>
      <c r="E20" s="34" t="s">
        <v>2148</v>
      </c>
      <c r="F20" s="34" t="s">
        <v>2149</v>
      </c>
      <c r="G20" s="34" t="s">
        <v>2150</v>
      </c>
      <c r="H20" s="34" t="s">
        <v>60</v>
      </c>
    </row>
    <row r="21" customFormat="false" ht="15.75" hidden="false" customHeight="false" outlineLevel="0" collapsed="false">
      <c r="A21" s="34" t="s">
        <v>2151</v>
      </c>
      <c r="B21" s="34" t="s">
        <v>2048</v>
      </c>
      <c r="C21" s="34" t="s">
        <v>2152</v>
      </c>
      <c r="D21" s="34" t="s">
        <v>2153</v>
      </c>
      <c r="E21" s="34" t="s">
        <v>2154</v>
      </c>
      <c r="F21" s="34" t="s">
        <v>2155</v>
      </c>
      <c r="G21" s="34" t="s">
        <v>2156</v>
      </c>
      <c r="H21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2157</v>
      </c>
      <c r="B2" s="34" t="s">
        <v>2158</v>
      </c>
      <c r="C2" s="34" t="s">
        <v>2159</v>
      </c>
      <c r="D2" s="34" t="s">
        <v>2160</v>
      </c>
      <c r="E2" s="34" t="s">
        <v>2161</v>
      </c>
      <c r="F2" s="34" t="s">
        <v>2162</v>
      </c>
      <c r="G2" s="34" t="s">
        <v>2163</v>
      </c>
      <c r="H2" s="34" t="s">
        <v>60</v>
      </c>
    </row>
    <row r="3" customFormat="false" ht="15.75" hidden="false" customHeight="false" outlineLevel="0" collapsed="false">
      <c r="A3" s="34" t="s">
        <v>2164</v>
      </c>
      <c r="B3" s="34" t="s">
        <v>2158</v>
      </c>
      <c r="C3" s="34" t="s">
        <v>2165</v>
      </c>
      <c r="D3" s="34" t="s">
        <v>2166</v>
      </c>
      <c r="E3" s="34" t="s">
        <v>2167</v>
      </c>
      <c r="F3" s="34" t="s">
        <v>453</v>
      </c>
      <c r="G3" s="34" t="s">
        <v>2168</v>
      </c>
      <c r="H3" s="34" t="s">
        <v>60</v>
      </c>
    </row>
    <row r="4" customFormat="false" ht="15.75" hidden="false" customHeight="false" outlineLevel="0" collapsed="false">
      <c r="A4" s="34" t="s">
        <v>2169</v>
      </c>
      <c r="B4" s="34" t="s">
        <v>2158</v>
      </c>
      <c r="C4" s="34" t="s">
        <v>2170</v>
      </c>
      <c r="D4" s="34" t="s">
        <v>465</v>
      </c>
      <c r="E4" s="34" t="s">
        <v>2171</v>
      </c>
      <c r="F4" s="34" t="s">
        <v>2172</v>
      </c>
      <c r="G4" s="34" t="s">
        <v>2173</v>
      </c>
      <c r="H4" s="34" t="s">
        <v>60</v>
      </c>
    </row>
    <row r="5" customFormat="false" ht="15.75" hidden="false" customHeight="false" outlineLevel="0" collapsed="false">
      <c r="A5" s="34" t="s">
        <v>2174</v>
      </c>
      <c r="B5" s="34" t="s">
        <v>2158</v>
      </c>
      <c r="C5" s="34" t="s">
        <v>2175</v>
      </c>
      <c r="D5" s="34" t="s">
        <v>2176</v>
      </c>
      <c r="E5" s="34" t="s">
        <v>2177</v>
      </c>
      <c r="F5" s="34" t="s">
        <v>1868</v>
      </c>
      <c r="G5" s="34" t="s">
        <v>2178</v>
      </c>
      <c r="H5" s="34" t="s">
        <v>60</v>
      </c>
    </row>
    <row r="6" customFormat="false" ht="15.75" hidden="false" customHeight="false" outlineLevel="0" collapsed="false">
      <c r="A6" s="34" t="s">
        <v>2179</v>
      </c>
      <c r="B6" s="34" t="s">
        <v>2158</v>
      </c>
      <c r="C6" s="34" t="s">
        <v>2180</v>
      </c>
      <c r="D6" s="34" t="s">
        <v>2181</v>
      </c>
      <c r="E6" s="34" t="s">
        <v>2182</v>
      </c>
      <c r="F6" s="34" t="s">
        <v>2183</v>
      </c>
      <c r="G6" s="34" t="s">
        <v>2184</v>
      </c>
      <c r="H6" s="34" t="s">
        <v>60</v>
      </c>
    </row>
    <row r="7" customFormat="false" ht="15.75" hidden="false" customHeight="false" outlineLevel="0" collapsed="false">
      <c r="A7" s="34" t="s">
        <v>2185</v>
      </c>
      <c r="B7" s="34" t="s">
        <v>2158</v>
      </c>
      <c r="C7" s="34" t="s">
        <v>2186</v>
      </c>
      <c r="D7" s="34" t="s">
        <v>2187</v>
      </c>
      <c r="E7" s="34" t="s">
        <v>2188</v>
      </c>
      <c r="F7" s="34" t="s">
        <v>2189</v>
      </c>
      <c r="G7" s="34" t="s">
        <v>2190</v>
      </c>
      <c r="H7" s="34" t="s">
        <v>60</v>
      </c>
    </row>
    <row r="8" customFormat="false" ht="15.75" hidden="false" customHeight="false" outlineLevel="0" collapsed="false">
      <c r="A8" s="34" t="s">
        <v>2191</v>
      </c>
      <c r="B8" s="34" t="s">
        <v>2158</v>
      </c>
      <c r="C8" s="34" t="s">
        <v>2192</v>
      </c>
      <c r="D8" s="34" t="s">
        <v>2193</v>
      </c>
      <c r="E8" s="34" t="s">
        <v>2194</v>
      </c>
      <c r="F8" s="34" t="s">
        <v>2195</v>
      </c>
      <c r="G8" s="34" t="s">
        <v>2196</v>
      </c>
      <c r="H8" s="34" t="s">
        <v>60</v>
      </c>
    </row>
    <row r="9" customFormat="false" ht="15.75" hidden="false" customHeight="false" outlineLevel="0" collapsed="false">
      <c r="A9" s="34" t="s">
        <v>2197</v>
      </c>
      <c r="B9" s="34" t="s">
        <v>2158</v>
      </c>
      <c r="C9" s="34" t="s">
        <v>2198</v>
      </c>
      <c r="D9" s="34" t="s">
        <v>2199</v>
      </c>
      <c r="E9" s="34" t="s">
        <v>2200</v>
      </c>
      <c r="F9" s="34" t="s">
        <v>1564</v>
      </c>
      <c r="G9" s="34" t="s">
        <v>2201</v>
      </c>
      <c r="H9" s="34" t="s">
        <v>60</v>
      </c>
    </row>
    <row r="10" customFormat="false" ht="15.75" hidden="false" customHeight="false" outlineLevel="0" collapsed="false">
      <c r="A10" s="34" t="s">
        <v>2202</v>
      </c>
      <c r="B10" s="34" t="s">
        <v>2158</v>
      </c>
      <c r="C10" s="34" t="s">
        <v>2203</v>
      </c>
      <c r="D10" s="34" t="s">
        <v>2204</v>
      </c>
      <c r="E10" s="34" t="s">
        <v>2205</v>
      </c>
      <c r="F10" s="34" t="s">
        <v>2206</v>
      </c>
      <c r="G10" s="34" t="s">
        <v>2207</v>
      </c>
      <c r="H10" s="34" t="s">
        <v>60</v>
      </c>
    </row>
    <row r="11" customFormat="false" ht="15.75" hidden="false" customHeight="false" outlineLevel="0" collapsed="false">
      <c r="A11" s="34" t="s">
        <v>2208</v>
      </c>
      <c r="B11" s="34" t="s">
        <v>2158</v>
      </c>
      <c r="C11" s="34" t="s">
        <v>2209</v>
      </c>
      <c r="D11" s="34" t="s">
        <v>2210</v>
      </c>
      <c r="E11" s="34" t="s">
        <v>2211</v>
      </c>
      <c r="F11" s="34" t="s">
        <v>2212</v>
      </c>
      <c r="G11" s="34" t="s">
        <v>2213</v>
      </c>
      <c r="H11" s="34" t="s">
        <v>60</v>
      </c>
    </row>
    <row r="12" customFormat="false" ht="15.75" hidden="false" customHeight="false" outlineLevel="0" collapsed="false">
      <c r="A12" s="34" t="s">
        <v>2214</v>
      </c>
      <c r="B12" s="34" t="s">
        <v>2158</v>
      </c>
      <c r="C12" s="34" t="s">
        <v>2215</v>
      </c>
      <c r="D12" s="34" t="s">
        <v>2216</v>
      </c>
      <c r="E12" s="34" t="s">
        <v>2217</v>
      </c>
      <c r="F12" s="34" t="s">
        <v>2218</v>
      </c>
      <c r="G12" s="34" t="s">
        <v>2219</v>
      </c>
      <c r="H12" s="34" t="s">
        <v>60</v>
      </c>
    </row>
    <row r="13" customFormat="false" ht="15.75" hidden="false" customHeight="false" outlineLevel="0" collapsed="false">
      <c r="A13" s="34" t="s">
        <v>2220</v>
      </c>
      <c r="B13" s="34" t="s">
        <v>2158</v>
      </c>
      <c r="C13" s="34" t="s">
        <v>2221</v>
      </c>
      <c r="D13" s="34" t="s">
        <v>2222</v>
      </c>
      <c r="E13" s="34" t="s">
        <v>2223</v>
      </c>
      <c r="F13" s="34" t="s">
        <v>2224</v>
      </c>
      <c r="G13" s="34" t="s">
        <v>2225</v>
      </c>
      <c r="H13" s="34" t="s">
        <v>60</v>
      </c>
    </row>
    <row r="14" customFormat="false" ht="15.75" hidden="false" customHeight="false" outlineLevel="0" collapsed="false">
      <c r="A14" s="34" t="s">
        <v>2226</v>
      </c>
      <c r="B14" s="34" t="s">
        <v>2158</v>
      </c>
      <c r="C14" s="34" t="s">
        <v>2227</v>
      </c>
      <c r="D14" s="34" t="s">
        <v>2228</v>
      </c>
      <c r="E14" s="34" t="s">
        <v>2229</v>
      </c>
      <c r="F14" s="34" t="s">
        <v>2230</v>
      </c>
      <c r="G14" s="34" t="s">
        <v>2231</v>
      </c>
      <c r="H14" s="34" t="s">
        <v>60</v>
      </c>
    </row>
    <row r="15" customFormat="false" ht="15.75" hidden="false" customHeight="false" outlineLevel="0" collapsed="false">
      <c r="A15" s="34" t="s">
        <v>2232</v>
      </c>
      <c r="B15" s="34" t="s">
        <v>2158</v>
      </c>
      <c r="C15" s="34" t="s">
        <v>2233</v>
      </c>
      <c r="D15" s="34" t="s">
        <v>2234</v>
      </c>
      <c r="E15" s="34" t="s">
        <v>2235</v>
      </c>
      <c r="F15" s="34" t="s">
        <v>2236</v>
      </c>
      <c r="G15" s="34" t="s">
        <v>2237</v>
      </c>
      <c r="H15" s="34" t="s">
        <v>60</v>
      </c>
    </row>
    <row r="16" customFormat="false" ht="15.75" hidden="false" customHeight="false" outlineLevel="0" collapsed="false">
      <c r="A16" s="34" t="s">
        <v>2238</v>
      </c>
      <c r="B16" s="34" t="s">
        <v>2158</v>
      </c>
      <c r="C16" s="34" t="s">
        <v>2239</v>
      </c>
      <c r="D16" s="34" t="s">
        <v>2240</v>
      </c>
      <c r="E16" s="34" t="s">
        <v>2241</v>
      </c>
      <c r="F16" s="34" t="s">
        <v>2242</v>
      </c>
      <c r="G16" s="34" t="s">
        <v>2243</v>
      </c>
      <c r="H16" s="34" t="s">
        <v>60</v>
      </c>
    </row>
    <row r="17" customFormat="false" ht="15.75" hidden="false" customHeight="false" outlineLevel="0" collapsed="false">
      <c r="A17" s="34" t="s">
        <v>2244</v>
      </c>
      <c r="B17" s="34" t="s">
        <v>2158</v>
      </c>
      <c r="C17" s="34" t="s">
        <v>2245</v>
      </c>
      <c r="D17" s="34" t="s">
        <v>2246</v>
      </c>
      <c r="E17" s="34" t="s">
        <v>2247</v>
      </c>
      <c r="F17" s="34" t="s">
        <v>2248</v>
      </c>
      <c r="G17" s="34" t="s">
        <v>2249</v>
      </c>
      <c r="H17" s="34" t="s">
        <v>60</v>
      </c>
    </row>
    <row r="18" customFormat="false" ht="15.75" hidden="false" customHeight="false" outlineLevel="0" collapsed="false">
      <c r="A18" s="34" t="s">
        <v>2250</v>
      </c>
      <c r="B18" s="34" t="s">
        <v>2158</v>
      </c>
      <c r="C18" s="34" t="s">
        <v>2251</v>
      </c>
      <c r="D18" s="34" t="s">
        <v>2252</v>
      </c>
      <c r="E18" s="34" t="s">
        <v>2253</v>
      </c>
      <c r="F18" s="34" t="s">
        <v>2254</v>
      </c>
      <c r="G18" s="34" t="s">
        <v>2255</v>
      </c>
      <c r="H18" s="34" t="s">
        <v>60</v>
      </c>
    </row>
    <row r="19" customFormat="false" ht="15.75" hidden="false" customHeight="false" outlineLevel="0" collapsed="false">
      <c r="A19" s="34" t="s">
        <v>2256</v>
      </c>
      <c r="B19" s="34" t="s">
        <v>2158</v>
      </c>
      <c r="C19" s="34" t="s">
        <v>2257</v>
      </c>
      <c r="D19" s="34" t="s">
        <v>2258</v>
      </c>
      <c r="E19" s="34" t="s">
        <v>2259</v>
      </c>
      <c r="F19" s="34" t="s">
        <v>2260</v>
      </c>
      <c r="G19" s="34" t="s">
        <v>2261</v>
      </c>
      <c r="H19" s="34" t="s">
        <v>60</v>
      </c>
    </row>
    <row r="20" customFormat="false" ht="15.75" hidden="false" customHeight="false" outlineLevel="0" collapsed="false">
      <c r="A20" s="34" t="s">
        <v>2262</v>
      </c>
      <c r="B20" s="34" t="s">
        <v>2158</v>
      </c>
      <c r="C20" s="34" t="s">
        <v>2263</v>
      </c>
      <c r="D20" s="34" t="s">
        <v>2264</v>
      </c>
      <c r="E20" s="34" t="s">
        <v>2265</v>
      </c>
      <c r="F20" s="34" t="s">
        <v>2266</v>
      </c>
      <c r="G20" s="34" t="s">
        <v>2267</v>
      </c>
      <c r="H20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2024</v>
      </c>
    </row>
    <row r="2" customFormat="false" ht="15.75" hidden="false" customHeight="false" outlineLevel="0" collapsed="false">
      <c r="A2" s="23" t="s">
        <v>115</v>
      </c>
    </row>
    <row r="3" customFormat="false" ht="15.75" hidden="false" customHeight="false" outlineLevel="0" collapsed="false">
      <c r="A3" s="16" t="s">
        <v>2268</v>
      </c>
    </row>
    <row r="4" customFormat="false" ht="15.75" hidden="false" customHeight="false" outlineLevel="0" collapsed="false">
      <c r="A4" s="17" t="n">
        <v>7010</v>
      </c>
    </row>
    <row r="5" customFormat="false" ht="15.75" hidden="false" customHeight="false" outlineLevel="0" collapsed="false">
      <c r="A5" s="16" t="s">
        <v>2159</v>
      </c>
    </row>
    <row r="6" customFormat="false" ht="15.75" hidden="false" customHeight="false" outlineLevel="0" collapsed="false">
      <c r="A6" s="17" t="n">
        <v>11970</v>
      </c>
    </row>
    <row r="7" customFormat="false" ht="15.75" hidden="false" customHeight="false" outlineLevel="0" collapsed="false">
      <c r="A7" s="16" t="s">
        <v>2269</v>
      </c>
    </row>
    <row r="8" customFormat="false" ht="15.75" hidden="false" customHeight="false" outlineLevel="0" collapsed="false">
      <c r="A8" s="17" t="n">
        <v>13633</v>
      </c>
    </row>
    <row r="9" customFormat="false" ht="15.75" hidden="false" customHeight="false" outlineLevel="0" collapsed="false">
      <c r="A9" s="16" t="s">
        <v>2170</v>
      </c>
    </row>
    <row r="10" customFormat="false" ht="15.75" hidden="false" customHeight="false" outlineLevel="0" collapsed="false">
      <c r="A10" s="17" t="n">
        <v>22501</v>
      </c>
    </row>
    <row r="11" customFormat="false" ht="15.75" hidden="false" customHeight="false" outlineLevel="0" collapsed="false">
      <c r="A11" s="16" t="s">
        <v>2175</v>
      </c>
    </row>
    <row r="12" customFormat="false" ht="15.75" hidden="false" customHeight="false" outlineLevel="0" collapsed="false">
      <c r="A12" s="17" t="n">
        <v>26643</v>
      </c>
    </row>
    <row r="13" customFormat="false" ht="15.75" hidden="false" customHeight="false" outlineLevel="0" collapsed="false">
      <c r="A13" s="16" t="s">
        <v>2180</v>
      </c>
    </row>
    <row r="14" customFormat="false" ht="15.75" hidden="false" customHeight="false" outlineLevel="0" collapsed="false">
      <c r="A14" s="17" t="n">
        <v>32376</v>
      </c>
    </row>
    <row r="15" customFormat="false" ht="15.75" hidden="false" customHeight="false" outlineLevel="0" collapsed="false">
      <c r="A15" s="16" t="s">
        <v>2186</v>
      </c>
    </row>
    <row r="16" customFormat="false" ht="15.75" hidden="false" customHeight="false" outlineLevel="0" collapsed="false">
      <c r="A16" s="17" t="n">
        <v>41595</v>
      </c>
    </row>
    <row r="17" customFormat="false" ht="15.75" hidden="false" customHeight="false" outlineLevel="0" collapsed="false">
      <c r="A17" s="16" t="s">
        <v>2192</v>
      </c>
    </row>
    <row r="18" customFormat="false" ht="15.75" hidden="false" customHeight="false" outlineLevel="0" collapsed="false">
      <c r="A18" s="17" t="n">
        <v>51069</v>
      </c>
    </row>
    <row r="19" customFormat="false" ht="15.75" hidden="false" customHeight="false" outlineLevel="0" collapsed="false">
      <c r="A19" s="16" t="s">
        <v>2198</v>
      </c>
    </row>
    <row r="20" customFormat="false" ht="15.75" hidden="false" customHeight="false" outlineLevel="0" collapsed="false">
      <c r="A20" s="17" t="n">
        <v>61220</v>
      </c>
    </row>
    <row r="21" customFormat="false" ht="15.75" hidden="false" customHeight="false" outlineLevel="0" collapsed="false">
      <c r="A21" s="16" t="s">
        <v>2203</v>
      </c>
    </row>
    <row r="22" customFormat="false" ht="15.75" hidden="false" customHeight="false" outlineLevel="0" collapsed="false">
      <c r="A22" s="17" t="n">
        <v>70868</v>
      </c>
    </row>
    <row r="23" customFormat="false" ht="15.75" hidden="false" customHeight="false" outlineLevel="0" collapsed="false">
      <c r="A23" s="16" t="s">
        <v>2209</v>
      </c>
    </row>
    <row r="24" customFormat="false" ht="15.75" hidden="false" customHeight="false" outlineLevel="0" collapsed="false">
      <c r="A24" s="17" t="n">
        <v>80415</v>
      </c>
    </row>
    <row r="25" customFormat="false" ht="15.75" hidden="false" customHeight="false" outlineLevel="0" collapsed="false">
      <c r="A25" s="16" t="s">
        <v>2215</v>
      </c>
    </row>
    <row r="26" customFormat="false" ht="15.75" hidden="false" customHeight="false" outlineLevel="0" collapsed="false">
      <c r="A26" s="17" t="n">
        <v>91234</v>
      </c>
    </row>
    <row r="27" customFormat="false" ht="15.75" hidden="false" customHeight="false" outlineLevel="0" collapsed="false">
      <c r="A27" s="16" t="s">
        <v>2221</v>
      </c>
    </row>
    <row r="28" customFormat="false" ht="15.75" hidden="false" customHeight="false" outlineLevel="0" collapsed="false">
      <c r="A28" s="17" t="n">
        <v>98033</v>
      </c>
    </row>
    <row r="29" customFormat="false" ht="15.75" hidden="false" customHeight="false" outlineLevel="0" collapsed="false">
      <c r="A29" s="16" t="s">
        <v>2233</v>
      </c>
    </row>
    <row r="30" customFormat="false" ht="15.75" hidden="false" customHeight="false" outlineLevel="0" collapsed="false">
      <c r="A30" s="17" t="n">
        <v>150589</v>
      </c>
    </row>
    <row r="31" customFormat="false" ht="15.75" hidden="false" customHeight="false" outlineLevel="0" collapsed="false">
      <c r="A31" s="16" t="s">
        <v>2245</v>
      </c>
    </row>
    <row r="32" customFormat="false" ht="15.75" hidden="false" customHeight="false" outlineLevel="0" collapsed="false">
      <c r="A32" s="17" t="n">
        <v>198553</v>
      </c>
    </row>
    <row r="33" customFormat="false" ht="15.75" hidden="false" customHeight="false" outlineLevel="0" collapsed="false">
      <c r="A33" s="16" t="s">
        <v>2251</v>
      </c>
    </row>
    <row r="34" customFormat="false" ht="15.75" hidden="false" customHeight="false" outlineLevel="0" collapsed="false">
      <c r="A34" s="17" t="n">
        <v>250903</v>
      </c>
    </row>
    <row r="35" customFormat="false" ht="15.75" hidden="false" customHeight="false" outlineLevel="0" collapsed="false">
      <c r="A35" s="16" t="s">
        <v>2257</v>
      </c>
    </row>
    <row r="36" customFormat="false" ht="15.75" hidden="false" customHeight="false" outlineLevel="0" collapsed="false">
      <c r="A36" s="17" t="n">
        <v>498748</v>
      </c>
    </row>
    <row r="37" customFormat="false" ht="15.75" hidden="false" customHeight="false" outlineLevel="0" collapsed="false">
      <c r="A37" s="16" t="s">
        <v>2263</v>
      </c>
    </row>
    <row r="38" customFormat="false" ht="15.75" hidden="false" customHeight="false" outlineLevel="0" collapsed="false">
      <c r="A38" s="17" t="n">
        <v>997000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2270</v>
      </c>
      <c r="B2" s="34" t="s">
        <v>2271</v>
      </c>
      <c r="C2" s="34" t="s">
        <v>2272</v>
      </c>
      <c r="D2" s="34" t="s">
        <v>2273</v>
      </c>
      <c r="E2" s="34" t="s">
        <v>2274</v>
      </c>
      <c r="F2" s="34" t="s">
        <v>2275</v>
      </c>
      <c r="G2" s="34" t="s">
        <v>2276</v>
      </c>
      <c r="H2" s="34" t="s">
        <v>60</v>
      </c>
    </row>
    <row r="3" customFormat="false" ht="15.75" hidden="false" customHeight="false" outlineLevel="0" collapsed="false">
      <c r="A3" s="34" t="s">
        <v>2277</v>
      </c>
      <c r="B3" s="34" t="s">
        <v>2271</v>
      </c>
      <c r="C3" s="34" t="s">
        <v>2278</v>
      </c>
      <c r="D3" s="34" t="s">
        <v>2279</v>
      </c>
      <c r="E3" s="34" t="s">
        <v>2280</v>
      </c>
      <c r="F3" s="34" t="s">
        <v>2281</v>
      </c>
      <c r="G3" s="34" t="s">
        <v>2282</v>
      </c>
      <c r="H3" s="34" t="s">
        <v>60</v>
      </c>
    </row>
    <row r="4" customFormat="false" ht="15.75" hidden="false" customHeight="false" outlineLevel="0" collapsed="false">
      <c r="A4" s="34" t="s">
        <v>2283</v>
      </c>
      <c r="B4" s="34" t="s">
        <v>2271</v>
      </c>
      <c r="C4" s="34" t="s">
        <v>2284</v>
      </c>
      <c r="D4" s="34" t="s">
        <v>2285</v>
      </c>
      <c r="E4" s="34" t="s">
        <v>2286</v>
      </c>
      <c r="F4" s="34" t="s">
        <v>2287</v>
      </c>
      <c r="G4" s="34" t="s">
        <v>2288</v>
      </c>
      <c r="H4" s="34" t="s">
        <v>60</v>
      </c>
    </row>
    <row r="5" customFormat="false" ht="15.75" hidden="false" customHeight="false" outlineLevel="0" collapsed="false">
      <c r="A5" s="34" t="s">
        <v>2289</v>
      </c>
      <c r="B5" s="34" t="s">
        <v>2271</v>
      </c>
      <c r="C5" s="34" t="s">
        <v>2290</v>
      </c>
      <c r="D5" s="34" t="s">
        <v>2291</v>
      </c>
      <c r="E5" s="34" t="s">
        <v>2292</v>
      </c>
      <c r="F5" s="34" t="s">
        <v>2293</v>
      </c>
      <c r="G5" s="34" t="s">
        <v>2294</v>
      </c>
      <c r="H5" s="34" t="s">
        <v>60</v>
      </c>
    </row>
    <row r="6" customFormat="false" ht="15.75" hidden="false" customHeight="false" outlineLevel="0" collapsed="false">
      <c r="A6" s="34" t="s">
        <v>2295</v>
      </c>
      <c r="B6" s="34" t="s">
        <v>2271</v>
      </c>
      <c r="C6" s="34" t="s">
        <v>2296</v>
      </c>
      <c r="D6" s="34" t="s">
        <v>2297</v>
      </c>
      <c r="E6" s="34" t="s">
        <v>2298</v>
      </c>
      <c r="F6" s="34" t="s">
        <v>1906</v>
      </c>
      <c r="G6" s="34" t="s">
        <v>2299</v>
      </c>
      <c r="H6" s="34" t="s">
        <v>60</v>
      </c>
    </row>
    <row r="7" customFormat="false" ht="15.75" hidden="false" customHeight="false" outlineLevel="0" collapsed="false">
      <c r="A7" s="34" t="s">
        <v>2300</v>
      </c>
      <c r="B7" s="34" t="s">
        <v>2271</v>
      </c>
      <c r="C7" s="34" t="s">
        <v>2301</v>
      </c>
      <c r="D7" s="34" t="s">
        <v>2302</v>
      </c>
      <c r="E7" s="34" t="s">
        <v>2303</v>
      </c>
      <c r="F7" s="34" t="s">
        <v>2304</v>
      </c>
      <c r="G7" s="34" t="s">
        <v>2305</v>
      </c>
      <c r="H7" s="34" t="s">
        <v>60</v>
      </c>
    </row>
    <row r="8" customFormat="false" ht="15.75" hidden="false" customHeight="false" outlineLevel="0" collapsed="false">
      <c r="A8" s="34" t="s">
        <v>2306</v>
      </c>
      <c r="B8" s="34" t="s">
        <v>2271</v>
      </c>
      <c r="C8" s="34" t="s">
        <v>2307</v>
      </c>
      <c r="D8" s="34" t="s">
        <v>2308</v>
      </c>
      <c r="E8" s="34" t="s">
        <v>2309</v>
      </c>
      <c r="F8" s="34" t="s">
        <v>2310</v>
      </c>
      <c r="G8" s="34" t="s">
        <v>2311</v>
      </c>
      <c r="H8" s="34" t="s">
        <v>60</v>
      </c>
    </row>
    <row r="9" customFormat="false" ht="15.75" hidden="false" customHeight="false" outlineLevel="0" collapsed="false">
      <c r="A9" s="34" t="s">
        <v>2312</v>
      </c>
      <c r="B9" s="34" t="s">
        <v>2271</v>
      </c>
      <c r="C9" s="34" t="s">
        <v>2313</v>
      </c>
      <c r="D9" s="34" t="s">
        <v>2314</v>
      </c>
      <c r="E9" s="34" t="s">
        <v>2315</v>
      </c>
      <c r="F9" s="34" t="s">
        <v>2316</v>
      </c>
      <c r="G9" s="34" t="s">
        <v>2317</v>
      </c>
      <c r="H9" s="34" t="s">
        <v>60</v>
      </c>
    </row>
    <row r="10" customFormat="false" ht="15.75" hidden="false" customHeight="false" outlineLevel="0" collapsed="false">
      <c r="A10" s="34" t="s">
        <v>2318</v>
      </c>
      <c r="B10" s="34" t="s">
        <v>2271</v>
      </c>
      <c r="C10" s="34" t="s">
        <v>2319</v>
      </c>
      <c r="D10" s="34" t="s">
        <v>2320</v>
      </c>
      <c r="E10" s="34" t="s">
        <v>2321</v>
      </c>
      <c r="F10" s="34" t="s">
        <v>2322</v>
      </c>
      <c r="G10" s="34" t="s">
        <v>2323</v>
      </c>
      <c r="H10" s="34" t="s">
        <v>60</v>
      </c>
    </row>
    <row r="11" customFormat="false" ht="15.75" hidden="false" customHeight="false" outlineLevel="0" collapsed="false">
      <c r="A11" s="34" t="s">
        <v>2324</v>
      </c>
      <c r="B11" s="34" t="s">
        <v>2271</v>
      </c>
      <c r="C11" s="34" t="s">
        <v>2325</v>
      </c>
      <c r="D11" s="34" t="s">
        <v>2326</v>
      </c>
      <c r="E11" s="34" t="s">
        <v>2327</v>
      </c>
      <c r="F11" s="34" t="s">
        <v>2328</v>
      </c>
      <c r="G11" s="34" t="s">
        <v>2329</v>
      </c>
      <c r="H11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2024</v>
      </c>
    </row>
    <row r="2" customFormat="false" ht="15.75" hidden="false" customHeight="false" outlineLevel="0" collapsed="false">
      <c r="A2" s="23" t="s">
        <v>115</v>
      </c>
    </row>
    <row r="3" customFormat="false" ht="15.75" hidden="false" customHeight="false" outlineLevel="0" collapsed="false">
      <c r="A3" s="16" t="s">
        <v>2330</v>
      </c>
    </row>
    <row r="4" customFormat="false" ht="15.75" hidden="false" customHeight="false" outlineLevel="0" collapsed="false">
      <c r="A4" s="17" t="n">
        <v>7824</v>
      </c>
    </row>
    <row r="5" customFormat="false" ht="15.75" hidden="false" customHeight="false" outlineLevel="0" collapsed="false">
      <c r="A5" s="16" t="s">
        <v>2272</v>
      </c>
    </row>
    <row r="6" customFormat="false" ht="15.75" hidden="false" customHeight="false" outlineLevel="0" collapsed="false">
      <c r="A6" s="17" t="n">
        <v>12894</v>
      </c>
    </row>
    <row r="7" customFormat="false" ht="15.75" hidden="false" customHeight="false" outlineLevel="0" collapsed="false">
      <c r="A7" s="16" t="s">
        <v>2278</v>
      </c>
    </row>
    <row r="8" customFormat="false" ht="15.75" hidden="false" customHeight="false" outlineLevel="0" collapsed="false">
      <c r="A8" s="17" t="n">
        <v>17062</v>
      </c>
    </row>
    <row r="9" customFormat="false" ht="15.75" hidden="false" customHeight="false" outlineLevel="0" collapsed="false">
      <c r="A9" s="16" t="s">
        <v>2284</v>
      </c>
    </row>
    <row r="10" customFormat="false" ht="15.75" hidden="false" customHeight="false" outlineLevel="0" collapsed="false">
      <c r="A10" s="17" t="n">
        <v>27093</v>
      </c>
    </row>
    <row r="11" customFormat="false" ht="15.75" hidden="false" customHeight="false" outlineLevel="0" collapsed="false">
      <c r="A11" s="16" t="s">
        <v>2296</v>
      </c>
    </row>
    <row r="12" customFormat="false" ht="15.75" hidden="false" customHeight="false" outlineLevel="0" collapsed="false">
      <c r="A12" s="17" t="n">
        <v>52186</v>
      </c>
    </row>
    <row r="13" customFormat="false" ht="15.75" hidden="false" customHeight="false" outlineLevel="0" collapsed="false">
      <c r="A13" s="16" t="s">
        <v>2301</v>
      </c>
    </row>
    <row r="14" customFormat="false" ht="15.75" hidden="false" customHeight="false" outlineLevel="0" collapsed="false">
      <c r="A14" s="17" t="n">
        <v>102224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2331</v>
      </c>
      <c r="B2" s="34" t="s">
        <v>2332</v>
      </c>
      <c r="C2" s="34" t="s">
        <v>2333</v>
      </c>
      <c r="D2" s="34" t="s">
        <v>2334</v>
      </c>
      <c r="E2" s="34" t="s">
        <v>2335</v>
      </c>
      <c r="F2" s="34" t="s">
        <v>2336</v>
      </c>
      <c r="G2" s="34" t="s">
        <v>2337</v>
      </c>
      <c r="H2" s="34" t="s">
        <v>60</v>
      </c>
    </row>
    <row r="3" customFormat="false" ht="15.75" hidden="false" customHeight="false" outlineLevel="0" collapsed="false">
      <c r="A3" s="34" t="s">
        <v>2338</v>
      </c>
      <c r="B3" s="34" t="s">
        <v>2332</v>
      </c>
      <c r="C3" s="34" t="s">
        <v>2339</v>
      </c>
      <c r="D3" s="34" t="s">
        <v>2340</v>
      </c>
      <c r="E3" s="34" t="s">
        <v>2341</v>
      </c>
      <c r="F3" s="34" t="s">
        <v>2342</v>
      </c>
      <c r="G3" s="34" t="s">
        <v>2343</v>
      </c>
      <c r="H3" s="34" t="s">
        <v>60</v>
      </c>
    </row>
    <row r="4" customFormat="false" ht="15.75" hidden="false" customHeight="false" outlineLevel="0" collapsed="false">
      <c r="A4" s="34" t="s">
        <v>2344</v>
      </c>
      <c r="B4" s="34" t="s">
        <v>2332</v>
      </c>
      <c r="C4" s="34" t="s">
        <v>2345</v>
      </c>
      <c r="D4" s="34" t="s">
        <v>2346</v>
      </c>
      <c r="E4" s="34" t="s">
        <v>2347</v>
      </c>
      <c r="F4" s="34" t="s">
        <v>2348</v>
      </c>
      <c r="G4" s="34" t="s">
        <v>2349</v>
      </c>
      <c r="H4" s="34" t="s">
        <v>60</v>
      </c>
    </row>
    <row r="5" customFormat="false" ht="15.75" hidden="false" customHeight="false" outlineLevel="0" collapsed="false">
      <c r="A5" s="34" t="s">
        <v>2350</v>
      </c>
      <c r="B5" s="34" t="s">
        <v>2332</v>
      </c>
      <c r="C5" s="34" t="s">
        <v>2351</v>
      </c>
      <c r="D5" s="34" t="s">
        <v>2352</v>
      </c>
      <c r="E5" s="34" t="s">
        <v>2353</v>
      </c>
      <c r="F5" s="34" t="s">
        <v>2354</v>
      </c>
      <c r="G5" s="34" t="s">
        <v>2355</v>
      </c>
      <c r="H5" s="34" t="s">
        <v>60</v>
      </c>
    </row>
    <row r="6" customFormat="false" ht="15.75" hidden="false" customHeight="false" outlineLevel="0" collapsed="false">
      <c r="A6" s="34" t="s">
        <v>2356</v>
      </c>
      <c r="B6" s="34" t="s">
        <v>2332</v>
      </c>
      <c r="C6" s="34" t="s">
        <v>2357</v>
      </c>
      <c r="D6" s="34" t="s">
        <v>2358</v>
      </c>
      <c r="E6" s="34" t="s">
        <v>2359</v>
      </c>
      <c r="F6" s="34" t="s">
        <v>2360</v>
      </c>
      <c r="G6" s="34" t="s">
        <v>2361</v>
      </c>
      <c r="H6" s="34" t="s">
        <v>60</v>
      </c>
    </row>
    <row r="7" customFormat="false" ht="15.75" hidden="false" customHeight="false" outlineLevel="0" collapsed="false">
      <c r="A7" s="34" t="s">
        <v>2362</v>
      </c>
      <c r="B7" s="34" t="s">
        <v>2332</v>
      </c>
      <c r="C7" s="34" t="s">
        <v>2363</v>
      </c>
      <c r="D7" s="34" t="s">
        <v>2364</v>
      </c>
      <c r="E7" s="34" t="s">
        <v>2365</v>
      </c>
      <c r="F7" s="34" t="s">
        <v>2366</v>
      </c>
      <c r="G7" s="34" t="s">
        <v>2367</v>
      </c>
      <c r="H7" s="34" t="s">
        <v>60</v>
      </c>
    </row>
    <row r="8" customFormat="false" ht="15.75" hidden="false" customHeight="false" outlineLevel="0" collapsed="false">
      <c r="A8" s="34" t="s">
        <v>2368</v>
      </c>
      <c r="B8" s="34" t="s">
        <v>2332</v>
      </c>
      <c r="C8" s="34" t="s">
        <v>2369</v>
      </c>
      <c r="D8" s="34" t="s">
        <v>2370</v>
      </c>
      <c r="E8" s="34" t="s">
        <v>2371</v>
      </c>
      <c r="F8" s="34" t="s">
        <v>2372</v>
      </c>
      <c r="G8" s="34" t="s">
        <v>2373</v>
      </c>
      <c r="H8" s="34" t="s">
        <v>60</v>
      </c>
    </row>
    <row r="9" customFormat="false" ht="15.75" hidden="false" customHeight="false" outlineLevel="0" collapsed="false">
      <c r="A9" s="34" t="s">
        <v>2374</v>
      </c>
      <c r="B9" s="34" t="s">
        <v>2332</v>
      </c>
      <c r="C9" s="34" t="s">
        <v>2375</v>
      </c>
      <c r="D9" s="34" t="s">
        <v>2376</v>
      </c>
      <c r="E9" s="34" t="s">
        <v>2377</v>
      </c>
      <c r="F9" s="34" t="s">
        <v>2378</v>
      </c>
      <c r="G9" s="34" t="s">
        <v>2379</v>
      </c>
      <c r="H9" s="34" t="s">
        <v>60</v>
      </c>
    </row>
    <row r="10" customFormat="false" ht="15.75" hidden="false" customHeight="false" outlineLevel="0" collapsed="false">
      <c r="A10" s="34" t="s">
        <v>2380</v>
      </c>
      <c r="B10" s="34" t="s">
        <v>2332</v>
      </c>
      <c r="C10" s="34" t="s">
        <v>2381</v>
      </c>
      <c r="D10" s="34" t="s">
        <v>2382</v>
      </c>
      <c r="E10" s="34" t="s">
        <v>2383</v>
      </c>
      <c r="F10" s="34" t="s">
        <v>2384</v>
      </c>
      <c r="G10" s="34" t="s">
        <v>2385</v>
      </c>
      <c r="H10" s="34" t="s">
        <v>60</v>
      </c>
    </row>
    <row r="11" customFormat="false" ht="15.75" hidden="false" customHeight="false" outlineLevel="0" collapsed="false">
      <c r="A11" s="34" t="s">
        <v>2386</v>
      </c>
      <c r="B11" s="34" t="s">
        <v>2332</v>
      </c>
      <c r="C11" s="34" t="s">
        <v>2387</v>
      </c>
      <c r="D11" s="34" t="s">
        <v>2388</v>
      </c>
      <c r="E11" s="34" t="s">
        <v>2389</v>
      </c>
      <c r="F11" s="34" t="s">
        <v>2390</v>
      </c>
      <c r="G11" s="34" t="s">
        <v>2391</v>
      </c>
      <c r="H11" s="34" t="s">
        <v>60</v>
      </c>
    </row>
    <row r="12" customFormat="false" ht="15.75" hidden="false" customHeight="false" outlineLevel="0" collapsed="false">
      <c r="A12" s="34" t="s">
        <v>2392</v>
      </c>
      <c r="B12" s="34" t="s">
        <v>2332</v>
      </c>
      <c r="C12" s="34" t="s">
        <v>2393</v>
      </c>
      <c r="D12" s="34" t="s">
        <v>2394</v>
      </c>
      <c r="E12" s="34" t="s">
        <v>2395</v>
      </c>
      <c r="F12" s="34" t="s">
        <v>2396</v>
      </c>
      <c r="G12" s="34" t="s">
        <v>2397</v>
      </c>
      <c r="H12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2024</v>
      </c>
    </row>
    <row r="2" customFormat="false" ht="15.75" hidden="false" customHeight="false" outlineLevel="0" collapsed="false">
      <c r="A2" s="23" t="s">
        <v>115</v>
      </c>
    </row>
    <row r="3" customFormat="false" ht="15.75" hidden="false" customHeight="false" outlineLevel="0" collapsed="false">
      <c r="A3" s="16" t="s">
        <v>2398</v>
      </c>
    </row>
    <row r="4" customFormat="false" ht="15.75" hidden="false" customHeight="false" outlineLevel="0" collapsed="false">
      <c r="A4" s="17" t="n">
        <v>7528</v>
      </c>
    </row>
    <row r="5" customFormat="false" ht="15.75" hidden="false" customHeight="false" outlineLevel="0" collapsed="false">
      <c r="A5" s="16" t="s">
        <v>2399</v>
      </c>
    </row>
    <row r="6" customFormat="false" ht="15.75" hidden="false" customHeight="false" outlineLevel="0" collapsed="false">
      <c r="A6" s="17" t="n">
        <v>12748</v>
      </c>
    </row>
    <row r="7" customFormat="false" ht="15.75" hidden="false" customHeight="false" outlineLevel="0" collapsed="false">
      <c r="A7" s="16" t="s">
        <v>2400</v>
      </c>
    </row>
    <row r="8" customFormat="false" ht="15.75" hidden="false" customHeight="false" outlineLevel="0" collapsed="false">
      <c r="A8" s="17" t="n">
        <v>17013</v>
      </c>
    </row>
    <row r="9" customFormat="false" ht="15.75" hidden="false" customHeight="false" outlineLevel="0" collapsed="false">
      <c r="A9" s="16" t="s">
        <v>2401</v>
      </c>
    </row>
    <row r="10" customFormat="false" ht="15.75" hidden="false" customHeight="false" outlineLevel="0" collapsed="false">
      <c r="A10" s="17" t="n">
        <v>27049</v>
      </c>
    </row>
    <row r="11" customFormat="false" ht="15.75" hidden="false" customHeight="false" outlineLevel="0" collapsed="false">
      <c r="A11" s="16" t="s">
        <v>2402</v>
      </c>
    </row>
    <row r="12" customFormat="false" ht="15.75" hidden="false" customHeight="false" outlineLevel="0" collapsed="false">
      <c r="A12" s="17" t="n">
        <v>52320</v>
      </c>
    </row>
    <row r="13" customFormat="false" ht="15.75" hidden="false" customHeight="false" outlineLevel="0" collapsed="false">
      <c r="A13" s="16" t="s">
        <v>2403</v>
      </c>
    </row>
    <row r="14" customFormat="false" ht="15.75" hidden="false" customHeight="false" outlineLevel="0" collapsed="false">
      <c r="A14" s="17" t="n">
        <v>102498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2404</v>
      </c>
      <c r="B2" s="34" t="s">
        <v>2405</v>
      </c>
      <c r="C2" s="34" t="s">
        <v>2406</v>
      </c>
      <c r="D2" s="34" t="s">
        <v>2407</v>
      </c>
      <c r="E2" s="34" t="s">
        <v>2408</v>
      </c>
      <c r="F2" s="34" t="s">
        <v>2409</v>
      </c>
      <c r="G2" s="34" t="s">
        <v>2410</v>
      </c>
      <c r="H2" s="34" t="s">
        <v>60</v>
      </c>
    </row>
    <row r="3" customFormat="false" ht="15.75" hidden="false" customHeight="false" outlineLevel="0" collapsed="false">
      <c r="A3" s="34" t="s">
        <v>2411</v>
      </c>
      <c r="B3" s="34" t="s">
        <v>2405</v>
      </c>
      <c r="C3" s="34" t="s">
        <v>2412</v>
      </c>
      <c r="D3" s="34" t="s">
        <v>2413</v>
      </c>
      <c r="E3" s="34" t="s">
        <v>2414</v>
      </c>
      <c r="F3" s="34" t="s">
        <v>2415</v>
      </c>
      <c r="G3" s="34" t="s">
        <v>2416</v>
      </c>
      <c r="H3" s="34" t="s">
        <v>60</v>
      </c>
    </row>
    <row r="4" customFormat="false" ht="15.75" hidden="false" customHeight="false" outlineLevel="0" collapsed="false">
      <c r="A4" s="34" t="s">
        <v>2417</v>
      </c>
      <c r="B4" s="34" t="s">
        <v>2405</v>
      </c>
      <c r="C4" s="34" t="s">
        <v>2418</v>
      </c>
      <c r="D4" s="34" t="s">
        <v>2419</v>
      </c>
      <c r="E4" s="34" t="s">
        <v>2420</v>
      </c>
      <c r="F4" s="34" t="s">
        <v>2421</v>
      </c>
      <c r="G4" s="34" t="s">
        <v>2422</v>
      </c>
      <c r="H4" s="34" t="s">
        <v>60</v>
      </c>
    </row>
    <row r="5" customFormat="false" ht="15.75" hidden="false" customHeight="false" outlineLevel="0" collapsed="false">
      <c r="A5" s="34" t="s">
        <v>2423</v>
      </c>
      <c r="B5" s="34" t="s">
        <v>2405</v>
      </c>
      <c r="C5" s="34" t="s">
        <v>2424</v>
      </c>
      <c r="D5" s="34" t="s">
        <v>2425</v>
      </c>
      <c r="E5" s="34" t="s">
        <v>2426</v>
      </c>
      <c r="F5" s="34" t="s">
        <v>2427</v>
      </c>
      <c r="G5" s="34" t="s">
        <v>2428</v>
      </c>
      <c r="H5" s="34" t="s">
        <v>60</v>
      </c>
    </row>
    <row r="6" customFormat="false" ht="15.75" hidden="false" customHeight="false" outlineLevel="0" collapsed="false">
      <c r="A6" s="34" t="s">
        <v>2429</v>
      </c>
      <c r="B6" s="34" t="s">
        <v>2405</v>
      </c>
      <c r="C6" s="34" t="s">
        <v>2430</v>
      </c>
      <c r="D6" s="34" t="s">
        <v>2072</v>
      </c>
      <c r="E6" s="34" t="s">
        <v>2073</v>
      </c>
      <c r="F6" s="34" t="s">
        <v>2074</v>
      </c>
      <c r="G6" s="34" t="s">
        <v>2075</v>
      </c>
      <c r="H6" s="34" t="s">
        <v>60</v>
      </c>
    </row>
    <row r="7" customFormat="false" ht="15.75" hidden="false" customHeight="false" outlineLevel="0" collapsed="false">
      <c r="A7" s="34" t="s">
        <v>2431</v>
      </c>
      <c r="B7" s="34" t="s">
        <v>2405</v>
      </c>
      <c r="C7" s="34" t="s">
        <v>2432</v>
      </c>
      <c r="D7" s="34" t="s">
        <v>2433</v>
      </c>
      <c r="E7" s="34" t="s">
        <v>2434</v>
      </c>
      <c r="F7" s="34" t="s">
        <v>2435</v>
      </c>
      <c r="G7" s="34" t="s">
        <v>2436</v>
      </c>
      <c r="H7" s="34" t="s">
        <v>60</v>
      </c>
    </row>
    <row r="8" customFormat="false" ht="15.75" hidden="false" customHeight="false" outlineLevel="0" collapsed="false">
      <c r="A8" s="34" t="s">
        <v>2437</v>
      </c>
      <c r="B8" s="34" t="s">
        <v>2405</v>
      </c>
      <c r="C8" s="34" t="s">
        <v>2438</v>
      </c>
      <c r="D8" s="34" t="s">
        <v>2439</v>
      </c>
      <c r="E8" s="34" t="s">
        <v>1662</v>
      </c>
      <c r="F8" s="34" t="s">
        <v>2440</v>
      </c>
      <c r="G8" s="34" t="s">
        <v>2441</v>
      </c>
      <c r="H8" s="34" t="s">
        <v>60</v>
      </c>
    </row>
    <row r="9" customFormat="false" ht="15.75" hidden="false" customHeight="false" outlineLevel="0" collapsed="false">
      <c r="A9" s="34" t="s">
        <v>2442</v>
      </c>
      <c r="B9" s="34" t="s">
        <v>2405</v>
      </c>
      <c r="C9" s="34" t="s">
        <v>2443</v>
      </c>
      <c r="D9" s="34" t="s">
        <v>2444</v>
      </c>
      <c r="E9" s="34" t="s">
        <v>2445</v>
      </c>
      <c r="F9" s="34" t="s">
        <v>2446</v>
      </c>
      <c r="G9" s="34" t="s">
        <v>2447</v>
      </c>
      <c r="H9" s="34" t="s">
        <v>60</v>
      </c>
    </row>
    <row r="10" customFormat="false" ht="15.75" hidden="false" customHeight="false" outlineLevel="0" collapsed="false">
      <c r="A10" s="34" t="s">
        <v>2448</v>
      </c>
      <c r="B10" s="34" t="s">
        <v>2405</v>
      </c>
      <c r="C10" s="34" t="s">
        <v>2449</v>
      </c>
      <c r="D10" s="34" t="s">
        <v>2450</v>
      </c>
      <c r="E10" s="34" t="s">
        <v>2451</v>
      </c>
      <c r="F10" s="34" t="s">
        <v>2452</v>
      </c>
      <c r="G10" s="34" t="s">
        <v>2453</v>
      </c>
      <c r="H10" s="34" t="s">
        <v>60</v>
      </c>
    </row>
    <row r="11" customFormat="false" ht="15.75" hidden="false" customHeight="false" outlineLevel="0" collapsed="false">
      <c r="A11" s="34" t="s">
        <v>2454</v>
      </c>
      <c r="B11" s="34" t="s">
        <v>2405</v>
      </c>
      <c r="C11" s="34" t="s">
        <v>2455</v>
      </c>
      <c r="D11" s="34" t="s">
        <v>2456</v>
      </c>
      <c r="E11" s="34" t="s">
        <v>2457</v>
      </c>
      <c r="F11" s="34" t="s">
        <v>2458</v>
      </c>
      <c r="G11" s="34" t="s">
        <v>2459</v>
      </c>
      <c r="H11" s="34" t="s">
        <v>60</v>
      </c>
    </row>
    <row r="12" customFormat="false" ht="15.75" hidden="false" customHeight="false" outlineLevel="0" collapsed="false">
      <c r="A12" s="34" t="s">
        <v>2460</v>
      </c>
      <c r="B12" s="34" t="s">
        <v>2405</v>
      </c>
      <c r="C12" s="34" t="s">
        <v>2461</v>
      </c>
      <c r="D12" s="34" t="s">
        <v>2462</v>
      </c>
      <c r="E12" s="34" t="s">
        <v>2463</v>
      </c>
      <c r="F12" s="34" t="s">
        <v>2464</v>
      </c>
      <c r="G12" s="34" t="s">
        <v>2465</v>
      </c>
      <c r="H12" s="34" t="s">
        <v>60</v>
      </c>
    </row>
    <row r="13" customFormat="false" ht="15.75" hidden="false" customHeight="false" outlineLevel="0" collapsed="false">
      <c r="A13" s="34" t="s">
        <v>2466</v>
      </c>
      <c r="B13" s="34" t="s">
        <v>2405</v>
      </c>
      <c r="C13" s="34" t="s">
        <v>2467</v>
      </c>
      <c r="D13" s="34" t="s">
        <v>2468</v>
      </c>
      <c r="E13" s="34" t="s">
        <v>2469</v>
      </c>
      <c r="F13" s="34" t="s">
        <v>2470</v>
      </c>
      <c r="G13" s="34" t="s">
        <v>2471</v>
      </c>
      <c r="H13" s="34" t="s">
        <v>60</v>
      </c>
    </row>
    <row r="14" customFormat="false" ht="15.75" hidden="false" customHeight="false" outlineLevel="0" collapsed="false">
      <c r="A14" s="34" t="s">
        <v>2472</v>
      </c>
      <c r="B14" s="34" t="s">
        <v>2405</v>
      </c>
      <c r="C14" s="34" t="s">
        <v>2473</v>
      </c>
      <c r="D14" s="34" t="s">
        <v>2474</v>
      </c>
      <c r="E14" s="34" t="s">
        <v>2475</v>
      </c>
      <c r="F14" s="34" t="s">
        <v>2476</v>
      </c>
      <c r="G14" s="34" t="s">
        <v>2477</v>
      </c>
      <c r="H14" s="34" t="s">
        <v>60</v>
      </c>
    </row>
    <row r="15" customFormat="false" ht="15.75" hidden="false" customHeight="false" outlineLevel="0" collapsed="false">
      <c r="A15" s="34" t="s">
        <v>2478</v>
      </c>
      <c r="B15" s="34" t="s">
        <v>2405</v>
      </c>
      <c r="C15" s="34" t="s">
        <v>2479</v>
      </c>
      <c r="D15" s="34" t="s">
        <v>2480</v>
      </c>
      <c r="E15" s="34" t="s">
        <v>2481</v>
      </c>
      <c r="F15" s="34" t="s">
        <v>2482</v>
      </c>
      <c r="G15" s="34" t="s">
        <v>2483</v>
      </c>
      <c r="H15" s="34" t="s">
        <v>60</v>
      </c>
    </row>
    <row r="16" customFormat="false" ht="15.75" hidden="false" customHeight="false" outlineLevel="0" collapsed="false">
      <c r="A16" s="34" t="s">
        <v>2484</v>
      </c>
      <c r="B16" s="34" t="s">
        <v>2405</v>
      </c>
      <c r="C16" s="34" t="s">
        <v>2485</v>
      </c>
      <c r="D16" s="34" t="s">
        <v>2486</v>
      </c>
      <c r="E16" s="34" t="s">
        <v>2487</v>
      </c>
      <c r="F16" s="34" t="s">
        <v>2488</v>
      </c>
      <c r="G16" s="34" t="s">
        <v>2489</v>
      </c>
      <c r="H16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3" t="s">
        <v>45</v>
      </c>
      <c r="B1" s="33" t="s">
        <v>46</v>
      </c>
      <c r="C1" s="33" t="s">
        <v>47</v>
      </c>
      <c r="D1" s="33" t="s">
        <v>48</v>
      </c>
      <c r="E1" s="33" t="s">
        <v>49</v>
      </c>
      <c r="F1" s="33" t="s">
        <v>50</v>
      </c>
      <c r="G1" s="33" t="s">
        <v>51</v>
      </c>
      <c r="H1" s="33" t="s">
        <v>52</v>
      </c>
    </row>
    <row r="2" customFormat="false" ht="15.75" hidden="false" customHeight="false" outlineLevel="0" collapsed="false">
      <c r="A2" s="34" t="s">
        <v>2490</v>
      </c>
      <c r="B2" s="34" t="s">
        <v>2491</v>
      </c>
      <c r="C2" s="34" t="s">
        <v>2492</v>
      </c>
      <c r="D2" s="34" t="s">
        <v>2493</v>
      </c>
      <c r="E2" s="34" t="s">
        <v>2494</v>
      </c>
      <c r="F2" s="34" t="s">
        <v>2495</v>
      </c>
      <c r="G2" s="34" t="s">
        <v>2496</v>
      </c>
      <c r="H2" s="34" t="s">
        <v>60</v>
      </c>
    </row>
    <row r="3" customFormat="false" ht="15.75" hidden="false" customHeight="false" outlineLevel="0" collapsed="false">
      <c r="A3" s="34" t="s">
        <v>2497</v>
      </c>
      <c r="B3" s="34" t="s">
        <v>2491</v>
      </c>
      <c r="C3" s="34" t="s">
        <v>2498</v>
      </c>
      <c r="D3" s="34" t="s">
        <v>2499</v>
      </c>
      <c r="E3" s="34" t="s">
        <v>2500</v>
      </c>
      <c r="F3" s="34" t="s">
        <v>2501</v>
      </c>
      <c r="G3" s="34" t="s">
        <v>2502</v>
      </c>
      <c r="H3" s="34" t="s">
        <v>60</v>
      </c>
    </row>
    <row r="4" customFormat="false" ht="15.75" hidden="false" customHeight="false" outlineLevel="0" collapsed="false">
      <c r="A4" s="34" t="s">
        <v>2503</v>
      </c>
      <c r="B4" s="34" t="s">
        <v>2491</v>
      </c>
      <c r="C4" s="34" t="s">
        <v>2504</v>
      </c>
      <c r="D4" s="34" t="s">
        <v>2505</v>
      </c>
      <c r="E4" s="34" t="s">
        <v>2506</v>
      </c>
      <c r="F4" s="34" t="s">
        <v>2507</v>
      </c>
      <c r="G4" s="34" t="s">
        <v>2508</v>
      </c>
      <c r="H4" s="34" t="s">
        <v>60</v>
      </c>
    </row>
    <row r="5" customFormat="false" ht="15.75" hidden="false" customHeight="false" outlineLevel="0" collapsed="false">
      <c r="A5" s="34" t="s">
        <v>2509</v>
      </c>
      <c r="B5" s="34" t="s">
        <v>2491</v>
      </c>
      <c r="C5" s="34" t="s">
        <v>2510</v>
      </c>
      <c r="D5" s="34" t="s">
        <v>2511</v>
      </c>
      <c r="E5" s="34" t="s">
        <v>2512</v>
      </c>
      <c r="F5" s="34" t="s">
        <v>2513</v>
      </c>
      <c r="G5" s="34" t="s">
        <v>1877</v>
      </c>
      <c r="H5" s="34" t="s">
        <v>60</v>
      </c>
    </row>
    <row r="6" customFormat="false" ht="15.75" hidden="false" customHeight="false" outlineLevel="0" collapsed="false">
      <c r="A6" s="34" t="s">
        <v>2514</v>
      </c>
      <c r="B6" s="34" t="s">
        <v>2491</v>
      </c>
      <c r="C6" s="34" t="s">
        <v>2515</v>
      </c>
      <c r="D6" s="34" t="s">
        <v>2516</v>
      </c>
      <c r="E6" s="34" t="s">
        <v>2517</v>
      </c>
      <c r="F6" s="34" t="s">
        <v>2518</v>
      </c>
      <c r="G6" s="34" t="s">
        <v>2519</v>
      </c>
      <c r="H6" s="34" t="s">
        <v>60</v>
      </c>
    </row>
    <row r="7" customFormat="false" ht="15.75" hidden="false" customHeight="false" outlineLevel="0" collapsed="false">
      <c r="A7" s="34" t="s">
        <v>2520</v>
      </c>
      <c r="B7" s="34" t="s">
        <v>2491</v>
      </c>
      <c r="C7" s="34" t="s">
        <v>2521</v>
      </c>
      <c r="D7" s="34" t="s">
        <v>1759</v>
      </c>
      <c r="E7" s="34" t="s">
        <v>2522</v>
      </c>
      <c r="F7" s="34" t="s">
        <v>2523</v>
      </c>
      <c r="G7" s="34" t="s">
        <v>2524</v>
      </c>
      <c r="H7" s="34" t="s">
        <v>60</v>
      </c>
    </row>
    <row r="8" customFormat="false" ht="15.75" hidden="false" customHeight="false" outlineLevel="0" collapsed="false">
      <c r="A8" s="34" t="s">
        <v>2525</v>
      </c>
      <c r="B8" s="34" t="s">
        <v>2491</v>
      </c>
      <c r="C8" s="34" t="s">
        <v>2526</v>
      </c>
      <c r="D8" s="34" t="s">
        <v>1363</v>
      </c>
      <c r="E8" s="34" t="s">
        <v>2527</v>
      </c>
      <c r="F8" s="34" t="s">
        <v>2528</v>
      </c>
      <c r="G8" s="34" t="s">
        <v>2529</v>
      </c>
      <c r="H8" s="34" t="s">
        <v>60</v>
      </c>
    </row>
    <row r="9" customFormat="false" ht="15.75" hidden="false" customHeight="false" outlineLevel="0" collapsed="false">
      <c r="A9" s="34" t="s">
        <v>2530</v>
      </c>
      <c r="B9" s="34" t="s">
        <v>2491</v>
      </c>
      <c r="C9" s="34" t="s">
        <v>2531</v>
      </c>
      <c r="D9" s="34" t="s">
        <v>2532</v>
      </c>
      <c r="E9" s="34" t="s">
        <v>2533</v>
      </c>
      <c r="F9" s="34" t="s">
        <v>2534</v>
      </c>
      <c r="G9" s="34" t="s">
        <v>2535</v>
      </c>
      <c r="H9" s="34" t="s">
        <v>60</v>
      </c>
    </row>
    <row r="10" customFormat="false" ht="15.75" hidden="false" customHeight="false" outlineLevel="0" collapsed="false">
      <c r="A10" s="34" t="s">
        <v>2536</v>
      </c>
      <c r="B10" s="34" t="s">
        <v>2491</v>
      </c>
      <c r="C10" s="34" t="s">
        <v>2537</v>
      </c>
      <c r="D10" s="34" t="s">
        <v>2538</v>
      </c>
      <c r="E10" s="34" t="s">
        <v>2539</v>
      </c>
      <c r="F10" s="34" t="s">
        <v>2540</v>
      </c>
      <c r="G10" s="34" t="s">
        <v>2541</v>
      </c>
      <c r="H10" s="34" t="s">
        <v>60</v>
      </c>
    </row>
    <row r="11" customFormat="false" ht="15.75" hidden="false" customHeight="false" outlineLevel="0" collapsed="false">
      <c r="A11" s="34" t="s">
        <v>2542</v>
      </c>
      <c r="B11" s="34" t="s">
        <v>2491</v>
      </c>
      <c r="C11" s="34" t="s">
        <v>2543</v>
      </c>
      <c r="D11" s="34" t="s">
        <v>2544</v>
      </c>
      <c r="E11" s="34" t="s">
        <v>2545</v>
      </c>
      <c r="F11" s="34" t="s">
        <v>2546</v>
      </c>
      <c r="G11" s="34" t="s">
        <v>2547</v>
      </c>
      <c r="H11" s="34" t="s">
        <v>60</v>
      </c>
    </row>
    <row r="12" customFormat="false" ht="15.75" hidden="false" customHeight="false" outlineLevel="0" collapsed="false">
      <c r="A12" s="34" t="s">
        <v>2548</v>
      </c>
      <c r="B12" s="34" t="s">
        <v>2491</v>
      </c>
      <c r="C12" s="34" t="s">
        <v>2549</v>
      </c>
      <c r="D12" s="34" t="s">
        <v>2550</v>
      </c>
      <c r="E12" s="34" t="s">
        <v>2551</v>
      </c>
      <c r="F12" s="34" t="s">
        <v>2552</v>
      </c>
      <c r="G12" s="34" t="s">
        <v>2553</v>
      </c>
      <c r="H12" s="34" t="s">
        <v>60</v>
      </c>
    </row>
    <row r="13" customFormat="false" ht="15.75" hidden="false" customHeight="false" outlineLevel="0" collapsed="false">
      <c r="A13" s="34" t="s">
        <v>2554</v>
      </c>
      <c r="B13" s="34" t="s">
        <v>2491</v>
      </c>
      <c r="C13" s="34" t="s">
        <v>2555</v>
      </c>
      <c r="D13" s="34" t="s">
        <v>2556</v>
      </c>
      <c r="E13" s="34" t="s">
        <v>2557</v>
      </c>
      <c r="F13" s="34" t="s">
        <v>2558</v>
      </c>
      <c r="G13" s="34" t="s">
        <v>2559</v>
      </c>
      <c r="H13" s="34" t="s">
        <v>60</v>
      </c>
    </row>
    <row r="14" customFormat="false" ht="15.75" hidden="false" customHeight="false" outlineLevel="0" collapsed="false">
      <c r="A14" s="34" t="s">
        <v>2560</v>
      </c>
      <c r="B14" s="34" t="s">
        <v>2491</v>
      </c>
      <c r="C14" s="34" t="s">
        <v>2561</v>
      </c>
      <c r="D14" s="34" t="s">
        <v>2562</v>
      </c>
      <c r="E14" s="34" t="s">
        <v>2563</v>
      </c>
      <c r="F14" s="34" t="s">
        <v>2564</v>
      </c>
      <c r="G14" s="34" t="s">
        <v>2565</v>
      </c>
      <c r="H14" s="34" t="s">
        <v>60</v>
      </c>
    </row>
    <row r="15" customFormat="false" ht="15.75" hidden="false" customHeight="false" outlineLevel="0" collapsed="false">
      <c r="A15" s="34" t="s">
        <v>2566</v>
      </c>
      <c r="B15" s="34" t="s">
        <v>2491</v>
      </c>
      <c r="C15" s="34" t="s">
        <v>2567</v>
      </c>
      <c r="D15" s="34" t="s">
        <v>2568</v>
      </c>
      <c r="E15" s="34" t="s">
        <v>2569</v>
      </c>
      <c r="F15" s="34" t="s">
        <v>2570</v>
      </c>
      <c r="G15" s="34" t="s">
        <v>2571</v>
      </c>
      <c r="H15" s="34" t="s">
        <v>60</v>
      </c>
    </row>
    <row r="16" customFormat="false" ht="15.75" hidden="false" customHeight="false" outlineLevel="0" collapsed="false">
      <c r="A16" s="34" t="s">
        <v>2572</v>
      </c>
      <c r="B16" s="34" t="s">
        <v>2491</v>
      </c>
      <c r="C16" s="34" t="s">
        <v>2573</v>
      </c>
      <c r="D16" s="34" t="s">
        <v>2574</v>
      </c>
      <c r="E16" s="34" t="s">
        <v>2575</v>
      </c>
      <c r="F16" s="34" t="s">
        <v>2576</v>
      </c>
      <c r="G16" s="34" t="s">
        <v>2577</v>
      </c>
      <c r="H16" s="34" t="s">
        <v>60</v>
      </c>
    </row>
    <row r="17" customFormat="false" ht="15.75" hidden="false" customHeight="false" outlineLevel="0" collapsed="false">
      <c r="A17" s="34" t="s">
        <v>2578</v>
      </c>
      <c r="B17" s="34" t="s">
        <v>2491</v>
      </c>
      <c r="C17" s="34" t="s">
        <v>2579</v>
      </c>
      <c r="D17" s="34" t="s">
        <v>344</v>
      </c>
      <c r="E17" s="34" t="s">
        <v>2580</v>
      </c>
      <c r="F17" s="34" t="s">
        <v>2581</v>
      </c>
      <c r="G17" s="34" t="s">
        <v>2582</v>
      </c>
      <c r="H17" s="34" t="s">
        <v>60</v>
      </c>
    </row>
    <row r="18" customFormat="false" ht="15.75" hidden="false" customHeight="false" outlineLevel="0" collapsed="false">
      <c r="A18" s="34" t="s">
        <v>2583</v>
      </c>
      <c r="B18" s="34" t="s">
        <v>2491</v>
      </c>
      <c r="C18" s="34" t="s">
        <v>2584</v>
      </c>
      <c r="D18" s="34" t="s">
        <v>2585</v>
      </c>
      <c r="E18" s="34" t="s">
        <v>2586</v>
      </c>
      <c r="F18" s="34" t="s">
        <v>2587</v>
      </c>
      <c r="G18" s="34" t="s">
        <v>2588</v>
      </c>
      <c r="H18" s="34" t="s">
        <v>60</v>
      </c>
    </row>
    <row r="19" customFormat="false" ht="15.75" hidden="false" customHeight="false" outlineLevel="0" collapsed="false">
      <c r="A19" s="34" t="s">
        <v>2589</v>
      </c>
      <c r="B19" s="34" t="s">
        <v>2491</v>
      </c>
      <c r="C19" s="34" t="s">
        <v>2590</v>
      </c>
      <c r="D19" s="34" t="s">
        <v>2591</v>
      </c>
      <c r="E19" s="34" t="s">
        <v>2592</v>
      </c>
      <c r="F19" s="34" t="s">
        <v>2593</v>
      </c>
      <c r="G19" s="34" t="s">
        <v>2594</v>
      </c>
      <c r="H19" s="34" t="s">
        <v>60</v>
      </c>
    </row>
    <row r="20" customFormat="false" ht="15.75" hidden="false" customHeight="false" outlineLevel="0" collapsed="false">
      <c r="A20" s="34" t="s">
        <v>2595</v>
      </c>
      <c r="B20" s="34" t="s">
        <v>2491</v>
      </c>
      <c r="C20" s="34" t="s">
        <v>2596</v>
      </c>
      <c r="D20" s="34" t="s">
        <v>2597</v>
      </c>
      <c r="E20" s="34" t="s">
        <v>2598</v>
      </c>
      <c r="F20" s="34" t="s">
        <v>2599</v>
      </c>
      <c r="G20" s="34" t="s">
        <v>2600</v>
      </c>
      <c r="H20" s="3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5" t="s">
        <v>2024</v>
      </c>
    </row>
    <row r="2" customFormat="false" ht="15.75" hidden="false" customHeight="false" outlineLevel="0" collapsed="false">
      <c r="A2" s="23" t="s">
        <v>115</v>
      </c>
    </row>
    <row r="3" customFormat="false" ht="15.75" hidden="false" customHeight="false" outlineLevel="0" collapsed="false">
      <c r="A3" s="16" t="s">
        <v>2492</v>
      </c>
    </row>
    <row r="4" customFormat="false" ht="15.75" hidden="false" customHeight="false" outlineLevel="0" collapsed="false">
      <c r="A4" s="17" t="n">
        <v>11955</v>
      </c>
    </row>
    <row r="5" customFormat="false" ht="15.75" hidden="false" customHeight="false" outlineLevel="0" collapsed="false">
      <c r="A5" s="16" t="s">
        <v>2601</v>
      </c>
    </row>
    <row r="6" customFormat="false" ht="15.75" hidden="false" customHeight="false" outlineLevel="0" collapsed="false">
      <c r="A6" s="17" t="n">
        <v>16934</v>
      </c>
    </row>
    <row r="7" customFormat="false" ht="15.75" hidden="false" customHeight="false" outlineLevel="0" collapsed="false">
      <c r="A7" s="16" t="s">
        <v>2498</v>
      </c>
    </row>
    <row r="8" customFormat="false" ht="15.75" hidden="false" customHeight="false" outlineLevel="0" collapsed="false">
      <c r="A8" s="17" t="n">
        <v>22140</v>
      </c>
    </row>
    <row r="9" customFormat="false" ht="15.75" hidden="false" customHeight="false" outlineLevel="0" collapsed="false">
      <c r="A9" s="16" t="s">
        <v>2504</v>
      </c>
    </row>
    <row r="10" customFormat="false" ht="15.75" hidden="false" customHeight="false" outlineLevel="0" collapsed="false">
      <c r="A10" s="17" t="n">
        <v>26684</v>
      </c>
    </row>
    <row r="11" customFormat="false" ht="15.75" hidden="false" customHeight="false" outlineLevel="0" collapsed="false">
      <c r="A11" s="16" t="s">
        <v>2510</v>
      </c>
    </row>
    <row r="12" customFormat="false" ht="15.75" hidden="false" customHeight="false" outlineLevel="0" collapsed="false">
      <c r="A12" s="17" t="n">
        <v>31854</v>
      </c>
    </row>
    <row r="13" customFormat="false" ht="15.75" hidden="false" customHeight="false" outlineLevel="0" collapsed="false">
      <c r="A13" s="16" t="s">
        <v>2515</v>
      </c>
    </row>
    <row r="14" customFormat="false" ht="15.75" hidden="false" customHeight="false" outlineLevel="0" collapsed="false">
      <c r="A14" s="17" t="n">
        <v>37014</v>
      </c>
    </row>
    <row r="15" customFormat="false" ht="15.75" hidden="false" customHeight="false" outlineLevel="0" collapsed="false">
      <c r="A15" s="16" t="s">
        <v>2531</v>
      </c>
    </row>
    <row r="16" customFormat="false" ht="15.75" hidden="false" customHeight="false" outlineLevel="0" collapsed="false">
      <c r="A16" s="17" t="n">
        <v>51399</v>
      </c>
    </row>
    <row r="17" customFormat="false" ht="15.75" hidden="false" customHeight="false" outlineLevel="0" collapsed="false">
      <c r="A17" s="16" t="s">
        <v>2602</v>
      </c>
    </row>
    <row r="18" customFormat="false" ht="15.75" hidden="false" customHeight="false" outlineLevel="0" collapsed="false">
      <c r="A18" s="17" t="n">
        <v>61556</v>
      </c>
    </row>
    <row r="19" customFormat="false" ht="15.75" hidden="false" customHeight="false" outlineLevel="0" collapsed="false">
      <c r="A19" s="16" t="s">
        <v>2543</v>
      </c>
    </row>
    <row r="20" customFormat="false" ht="15.75" hidden="false" customHeight="false" outlineLevel="0" collapsed="false">
      <c r="A20" s="17" t="n">
        <v>67013</v>
      </c>
    </row>
    <row r="21" customFormat="false" ht="15.75" hidden="false" customHeight="false" outlineLevel="0" collapsed="false">
      <c r="A21" s="16" t="s">
        <v>2549</v>
      </c>
    </row>
    <row r="22" customFormat="false" ht="15.75" hidden="false" customHeight="false" outlineLevel="0" collapsed="false">
      <c r="A22" s="17" t="n">
        <v>71606</v>
      </c>
    </row>
    <row r="23" customFormat="false" ht="15.75" hidden="false" customHeight="false" outlineLevel="0" collapsed="false">
      <c r="A23" s="16" t="s">
        <v>2555</v>
      </c>
    </row>
    <row r="24" customFormat="false" ht="15.75" hidden="false" customHeight="false" outlineLevel="0" collapsed="false">
      <c r="A24" s="17" t="n">
        <v>76571</v>
      </c>
    </row>
    <row r="25" customFormat="false" ht="15.75" hidden="false" customHeight="false" outlineLevel="0" collapsed="false">
      <c r="A25" s="16" t="s">
        <v>2561</v>
      </c>
    </row>
    <row r="26" customFormat="false" ht="15.75" hidden="false" customHeight="false" outlineLevel="0" collapsed="false">
      <c r="A26" s="17" t="n">
        <v>81556</v>
      </c>
    </row>
    <row r="27" customFormat="false" ht="15.75" hidden="false" customHeight="false" outlineLevel="0" collapsed="false">
      <c r="A27" s="16" t="s">
        <v>2567</v>
      </c>
    </row>
    <row r="28" customFormat="false" ht="15.75" hidden="false" customHeight="false" outlineLevel="0" collapsed="false">
      <c r="A28" s="17" t="n">
        <v>87033</v>
      </c>
    </row>
    <row r="29" customFormat="false" ht="15.75" hidden="false" customHeight="false" outlineLevel="0" collapsed="false">
      <c r="A29" s="16" t="s">
        <v>2573</v>
      </c>
    </row>
    <row r="30" customFormat="false" ht="15.75" hidden="false" customHeight="false" outlineLevel="0" collapsed="false">
      <c r="A30" s="17" t="n">
        <v>92013</v>
      </c>
    </row>
    <row r="31" customFormat="false" ht="15.75" hidden="false" customHeight="false" outlineLevel="0" collapsed="false">
      <c r="A31" s="16" t="s">
        <v>2579</v>
      </c>
    </row>
    <row r="32" customFormat="false" ht="15.75" hidden="false" customHeight="false" outlineLevel="0" collapsed="false">
      <c r="A32" s="17" t="n">
        <v>97083</v>
      </c>
    </row>
    <row r="33" customFormat="false" ht="15.75" hidden="false" customHeight="false" outlineLevel="0" collapsed="false">
      <c r="A33" s="16" t="s">
        <v>2584</v>
      </c>
    </row>
    <row r="34" customFormat="false" ht="15.75" hidden="false" customHeight="false" outlineLevel="0" collapsed="false">
      <c r="A34" s="17" t="n">
        <v>100807</v>
      </c>
    </row>
  </sheetData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8" min="5" style="0" width="12"/>
    <col collapsed="false" customWidth="true" hidden="false" outlineLevel="0" max="9" min="9" style="0" width="26"/>
    <col collapsed="false" customWidth="true" hidden="false" outlineLevel="0" max="12" min="10" style="0" width="14"/>
    <col collapsed="false" customWidth="true" hidden="false" outlineLevel="0" max="13" min="13" style="0" width="10"/>
    <col collapsed="false" customWidth="true" hidden="false" outlineLevel="0" max="15" min="14" style="0" width="14"/>
    <col collapsed="false" customWidth="true" hidden="false" outlineLevel="0" max="16" min="16" style="0" width="15"/>
    <col collapsed="false" customWidth="true" hidden="false" outlineLevel="0" max="18" min="17" style="0" width="14"/>
    <col collapsed="false" customWidth="true" hidden="false" outlineLevel="0" max="19" min="19" style="0" width="16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7" t="s">
        <v>2603</v>
      </c>
      <c r="B1" s="7" t="s">
        <v>45</v>
      </c>
      <c r="C1" s="7" t="s">
        <v>2604</v>
      </c>
      <c r="D1" s="7" t="s">
        <v>2605</v>
      </c>
      <c r="E1" s="7" t="s">
        <v>2606</v>
      </c>
      <c r="F1" s="7" t="s">
        <v>2607</v>
      </c>
      <c r="G1" s="7" t="s">
        <v>2608</v>
      </c>
      <c r="H1" s="7" t="s">
        <v>2609</v>
      </c>
      <c r="I1" s="7" t="s">
        <v>2610</v>
      </c>
      <c r="J1" s="7" t="s">
        <v>2611</v>
      </c>
      <c r="K1" s="7" t="s">
        <v>2612</v>
      </c>
      <c r="L1" s="7" t="s">
        <v>2613</v>
      </c>
      <c r="M1" s="7" t="s">
        <v>2614</v>
      </c>
      <c r="N1" s="7" t="s">
        <v>2615</v>
      </c>
      <c r="O1" s="7" t="s">
        <v>2616</v>
      </c>
      <c r="P1" s="7" t="s">
        <v>2617</v>
      </c>
      <c r="Q1" s="7" t="s">
        <v>2618</v>
      </c>
      <c r="R1" s="7" t="s">
        <v>2619</v>
      </c>
      <c r="S1" s="7" t="s">
        <v>2620</v>
      </c>
      <c r="T1" s="7" t="s">
        <v>2621</v>
      </c>
    </row>
    <row r="2" customFormat="false" ht="15" hidden="false" customHeight="false" outlineLevel="0" collapsed="false">
      <c r="A2" s="8" t="s">
        <v>54</v>
      </c>
      <c r="B2" s="8" t="s">
        <v>53</v>
      </c>
      <c r="C2" s="8" t="s">
        <v>55</v>
      </c>
      <c r="D2" s="8" t="s">
        <v>14</v>
      </c>
      <c r="E2" s="8" t="n">
        <v>80</v>
      </c>
      <c r="F2" s="38" t="n">
        <f aca="false">IFERROR(VALUE(SUBSTITUTE(SUBSTITUTE('UNDAWN INDOFLAZ'!E2,"Rp. ",""),".","")),'UNDAWN INDOFLAZ'!E2)</f>
        <v>13818</v>
      </c>
      <c r="G2" s="38" t="n">
        <f aca="false">IFERROR(VALUE(SUBSTITUTE(SUBSTITUTE('UNDAWN INDOFLAZ'!F2,"Rp. ",""),".","")),'UNDAWN INDOFLAZ'!F2)</f>
        <v>13684</v>
      </c>
      <c r="H2" s="38" t="n">
        <f aca="false">IFERROR(VALUE(SUBSTITUTE(SUBSTITUTE('UNDAWN INDOFLAZ'!G2,"Rp. ",""),".","")),'UNDAWN INDOFLAZ'!G2)</f>
        <v>13550</v>
      </c>
      <c r="I2" s="8" t="s">
        <v>2622</v>
      </c>
      <c r="J2" s="38" t="n">
        <f aca="false">'UNDAWN OURA STORE'!A8</f>
        <v>15008</v>
      </c>
      <c r="K2" s="39"/>
      <c r="L2" s="39"/>
      <c r="M2" s="8" t="n">
        <f aca="false">COUNT(J2:L2)</f>
        <v>1</v>
      </c>
      <c r="N2" s="40" t="str">
        <f aca="false">IF(M2&gt;0,"Ada","Tidak Ada")</f>
        <v>Ada</v>
      </c>
      <c r="O2" s="41" t="n">
        <f aca="false">IF(M2&gt;0,MIN(J2:L2),"-")</f>
        <v>15008</v>
      </c>
      <c r="P2" s="41" t="n">
        <f aca="false">IF(M2&gt;0,AVERAGE(J2:L2),"-")</f>
        <v>15008</v>
      </c>
      <c r="Q2" s="41" t="n">
        <f aca="false">IF(M2&gt;0,O2-G2,"-")</f>
        <v>1324</v>
      </c>
      <c r="R2" s="42" t="n">
        <f aca="false">IF(M2&gt;0,IFERROR(Q2/O2,"-"),"-")</f>
        <v>0.0882196162046908</v>
      </c>
      <c r="S2" s="41" t="n">
        <f aca="false">IF(M2&gt;0,ROUND(MAX(G2*1.08,O2*0.97)/100,0)*100,ROUND(G2*1.12/100,0)*100)</f>
        <v>14800</v>
      </c>
      <c r="T2" s="42" t="n">
        <f aca="false">IFERROR((S2-G2)/S2,"-")</f>
        <v>0.0754054054054054</v>
      </c>
    </row>
    <row r="3" customFormat="false" ht="15" hidden="false" customHeight="false" outlineLevel="0" collapsed="false">
      <c r="A3" s="8" t="s">
        <v>54</v>
      </c>
      <c r="B3" s="8" t="s">
        <v>61</v>
      </c>
      <c r="C3" s="8" t="s">
        <v>62</v>
      </c>
      <c r="D3" s="8" t="s">
        <v>14</v>
      </c>
      <c r="E3" s="8" t="n">
        <v>250</v>
      </c>
      <c r="F3" s="38" t="n">
        <f aca="false">IFERROR(VALUE(SUBSTITUTE(SUBSTITUTE('UNDAWN INDOFLAZ'!E3,"Rp. ",""),".","")),'UNDAWN INDOFLAZ'!E3)</f>
        <v>41049</v>
      </c>
      <c r="G3" s="38" t="n">
        <f aca="false">IFERROR(VALUE(SUBSTITUTE(SUBSTITUTE('UNDAWN INDOFLAZ'!F3,"Rp. ",""),".","")),'UNDAWN INDOFLAZ'!F3)</f>
        <v>40647</v>
      </c>
      <c r="H3" s="38" t="n">
        <f aca="false">IFERROR(VALUE(SUBSTITUTE(SUBSTITUTE('UNDAWN INDOFLAZ'!G3,"Rp. ",""),".","")),'UNDAWN INDOFLAZ'!G3)</f>
        <v>40647</v>
      </c>
      <c r="I3" s="8" t="s">
        <v>2622</v>
      </c>
      <c r="J3" s="38" t="n">
        <f aca="false">'UNDAWN OURA STORE'!A10</f>
        <v>43756</v>
      </c>
      <c r="K3" s="39"/>
      <c r="L3" s="39"/>
      <c r="M3" s="8" t="n">
        <f aca="false">COUNT(J3:L3)</f>
        <v>1</v>
      </c>
      <c r="N3" s="40" t="str">
        <f aca="false">IF(M3&gt;0,"Ada","Tidak Ada")</f>
        <v>Ada</v>
      </c>
      <c r="O3" s="41" t="n">
        <f aca="false">IF(M3&gt;0,MIN(J3:L3),"-")</f>
        <v>43756</v>
      </c>
      <c r="P3" s="41" t="n">
        <f aca="false">IF(M3&gt;0,AVERAGE(J3:L3),"-")</f>
        <v>43756</v>
      </c>
      <c r="Q3" s="41" t="n">
        <f aca="false">IF(M3&gt;0,O3-G3,"-")</f>
        <v>3109</v>
      </c>
      <c r="R3" s="42" t="n">
        <f aca="false">IF(M3&gt;0,IFERROR(Q3/O3,"-"),"-")</f>
        <v>0.0710531127159704</v>
      </c>
      <c r="S3" s="41" t="n">
        <f aca="false">IF(M3&gt;0,ROUND(MAX(G3*1.08,O3*0.97)/100,0)*100,ROUND(G3*1.12/100,0)*100)</f>
        <v>43900</v>
      </c>
      <c r="T3" s="42" t="n">
        <f aca="false">IFERROR((S3-G3)/S3,"-")</f>
        <v>0.0741002277904328</v>
      </c>
    </row>
    <row r="4" customFormat="false" ht="15" hidden="false" customHeight="false" outlineLevel="0" collapsed="false">
      <c r="A4" s="8" t="s">
        <v>54</v>
      </c>
      <c r="B4" s="8" t="s">
        <v>66</v>
      </c>
      <c r="C4" s="8" t="s">
        <v>67</v>
      </c>
      <c r="D4" s="8" t="s">
        <v>14</v>
      </c>
      <c r="E4" s="8" t="n">
        <v>450</v>
      </c>
      <c r="F4" s="38" t="n">
        <f aca="false">IFERROR(VALUE(SUBSTITUTE(SUBSTITUTE('UNDAWN INDOFLAZ'!E4,"Rp. ",""),".","")),'UNDAWN INDOFLAZ'!E4)</f>
        <v>69086</v>
      </c>
      <c r="G4" s="38" t="n">
        <f aca="false">IFERROR(VALUE(SUBSTITUTE(SUBSTITUTE('UNDAWN INDOFLAZ'!F4,"Rp. ",""),".","")),'UNDAWN INDOFLAZ'!F4)</f>
        <v>68415</v>
      </c>
      <c r="H4" s="38" t="n">
        <f aca="false">IFERROR(VALUE(SUBSTITUTE(SUBSTITUTE('UNDAWN INDOFLAZ'!G4,"Rp. ",""),".","")),'UNDAWN INDOFLAZ'!G4)</f>
        <v>67744</v>
      </c>
      <c r="I4" s="8" t="s">
        <v>2622</v>
      </c>
      <c r="J4" s="38" t="n">
        <f aca="false">'UNDAWN OURA STORE'!A12</f>
        <v>75037</v>
      </c>
      <c r="K4" s="39"/>
      <c r="L4" s="39"/>
      <c r="M4" s="8" t="n">
        <f aca="false">COUNT(J4:L4)</f>
        <v>1</v>
      </c>
      <c r="N4" s="40" t="str">
        <f aca="false">IF(M4&gt;0,"Ada","Tidak Ada")</f>
        <v>Ada</v>
      </c>
      <c r="O4" s="41" t="n">
        <f aca="false">IF(M4&gt;0,MIN(J4:L4),"-")</f>
        <v>75037</v>
      </c>
      <c r="P4" s="41" t="n">
        <f aca="false">IF(M4&gt;0,AVERAGE(J4:L4),"-")</f>
        <v>75037</v>
      </c>
      <c r="Q4" s="41" t="n">
        <f aca="false">IF(M4&gt;0,O4-G4,"-")</f>
        <v>6622</v>
      </c>
      <c r="R4" s="42" t="n">
        <f aca="false">IF(M4&gt;0,IFERROR(Q4/O4,"-"),"-")</f>
        <v>0.0882497967669283</v>
      </c>
      <c r="S4" s="41" t="n">
        <f aca="false">IF(M4&gt;0,ROUND(MAX(G4*1.08,O4*0.97)/100,0)*100,ROUND(G4*1.12/100,0)*100)</f>
        <v>73900</v>
      </c>
      <c r="T4" s="42" t="n">
        <f aca="false">IFERROR((S4-G4)/S4,"-")</f>
        <v>0.0742219215155616</v>
      </c>
    </row>
    <row r="5" customFormat="false" ht="15" hidden="false" customHeight="false" outlineLevel="0" collapsed="false">
      <c r="A5" s="8" t="s">
        <v>54</v>
      </c>
      <c r="B5" s="8" t="s">
        <v>72</v>
      </c>
      <c r="C5" s="8" t="s">
        <v>73</v>
      </c>
      <c r="D5" s="8" t="s">
        <v>14</v>
      </c>
      <c r="E5" s="8" t="n">
        <v>920</v>
      </c>
      <c r="F5" s="38" t="n">
        <f aca="false">IFERROR(VALUE(SUBSTITUTE(SUBSTITUTE('UNDAWN INDOFLAZ'!E5,"Rp. ",""),".","")),'UNDAWN INDOFLAZ'!E5)</f>
        <v>137249</v>
      </c>
      <c r="G5" s="38" t="n">
        <f aca="false">IFERROR(VALUE(SUBSTITUTE(SUBSTITUTE('UNDAWN INDOFLAZ'!F5,"Rp. ",""),".","")),'UNDAWN INDOFLAZ'!F5)</f>
        <v>135917</v>
      </c>
      <c r="H5" s="38" t="n">
        <f aca="false">IFERROR(VALUE(SUBSTITUTE(SUBSTITUTE('UNDAWN INDOFLAZ'!G5,"Rp. ",""),".","")),'UNDAWN INDOFLAZ'!G5)</f>
        <v>134584</v>
      </c>
      <c r="I5" s="8" t="s">
        <v>2622</v>
      </c>
      <c r="J5" s="38" t="n">
        <f aca="false">'UNDAWN OURA STORE'!A14</f>
        <v>149072</v>
      </c>
      <c r="K5" s="39"/>
      <c r="L5" s="39"/>
      <c r="M5" s="8" t="n">
        <f aca="false">COUNT(J5:L5)</f>
        <v>1</v>
      </c>
      <c r="N5" s="40" t="str">
        <f aca="false">IF(M5&gt;0,"Ada","Tidak Ada")</f>
        <v>Ada</v>
      </c>
      <c r="O5" s="41" t="n">
        <f aca="false">IF(M5&gt;0,MIN(J5:L5),"-")</f>
        <v>149072</v>
      </c>
      <c r="P5" s="41" t="n">
        <f aca="false">IF(M5&gt;0,AVERAGE(J5:L5),"-")</f>
        <v>149072</v>
      </c>
      <c r="Q5" s="41" t="n">
        <f aca="false">IF(M5&gt;0,O5-G5,"-")</f>
        <v>13155</v>
      </c>
      <c r="R5" s="42" t="n">
        <f aca="false">IF(M5&gt;0,IFERROR(Q5/O5,"-"),"-")</f>
        <v>0.0882459482666094</v>
      </c>
      <c r="S5" s="41" t="n">
        <f aca="false">IF(M5&gt;0,ROUND(MAX(G5*1.08,O5*0.97)/100,0)*100,ROUND(G5*1.12/100,0)*100)</f>
        <v>146800</v>
      </c>
      <c r="T5" s="42" t="n">
        <f aca="false">IFERROR((S5-G5)/S5,"-")</f>
        <v>0.0741348773841962</v>
      </c>
    </row>
    <row r="6" customFormat="false" ht="15" hidden="false" customHeight="false" outlineLevel="0" collapsed="false">
      <c r="A6" s="8" t="s">
        <v>54</v>
      </c>
      <c r="B6" s="8" t="s">
        <v>78</v>
      </c>
      <c r="C6" s="8" t="s">
        <v>79</v>
      </c>
      <c r="D6" s="8" t="s">
        <v>14</v>
      </c>
      <c r="E6" s="8" t="n">
        <v>1850</v>
      </c>
      <c r="F6" s="38" t="n">
        <f aca="false">IFERROR(VALUE(SUBSTITUTE(SUBSTITUTE('UNDAWN INDOFLAZ'!E6,"Rp. ",""),".","")),'UNDAWN INDOFLAZ'!E6)</f>
        <v>275418</v>
      </c>
      <c r="G6" s="38" t="n">
        <f aca="false">IFERROR(VALUE(SUBSTITUTE(SUBSTITUTE('UNDAWN INDOFLAZ'!F6,"Rp. ",""),".","")),'UNDAWN INDOFLAZ'!F6)</f>
        <v>272744</v>
      </c>
      <c r="H6" s="38" t="n">
        <f aca="false">IFERROR(VALUE(SUBSTITUTE(SUBSTITUTE('UNDAWN INDOFLAZ'!G6,"Rp. ",""),".","")),'UNDAWN INDOFLAZ'!G6)</f>
        <v>270070</v>
      </c>
      <c r="I6" s="8" t="s">
        <v>2622</v>
      </c>
      <c r="J6" s="38" t="n">
        <f aca="false">'UNDAWN OURA STORE'!A16</f>
        <v>299143</v>
      </c>
      <c r="K6" s="39"/>
      <c r="L6" s="39"/>
      <c r="M6" s="8" t="n">
        <f aca="false">COUNT(J6:L6)</f>
        <v>1</v>
      </c>
      <c r="N6" s="40" t="str">
        <f aca="false">IF(M6&gt;0,"Ada","Tidak Ada")</f>
        <v>Ada</v>
      </c>
      <c r="O6" s="41" t="n">
        <f aca="false">IF(M6&gt;0,MIN(J6:L6),"-")</f>
        <v>299143</v>
      </c>
      <c r="P6" s="41" t="n">
        <f aca="false">IF(M6&gt;0,AVERAGE(J6:L6),"-")</f>
        <v>299143</v>
      </c>
      <c r="Q6" s="41" t="n">
        <f aca="false">IF(M6&gt;0,O6-G6,"-")</f>
        <v>26399</v>
      </c>
      <c r="R6" s="42" t="n">
        <f aca="false">IF(M6&gt;0,IFERROR(Q6/O6,"-"),"-")</f>
        <v>0.0882487639690717</v>
      </c>
      <c r="S6" s="41" t="n">
        <f aca="false">IF(M6&gt;0,ROUND(MAX(G6*1.08,O6*0.97)/100,0)*100,ROUND(G6*1.12/100,0)*100)</f>
        <v>294600</v>
      </c>
      <c r="T6" s="42" t="n">
        <f aca="false">IFERROR((S6-G6)/S6,"-")</f>
        <v>0.0741887304820095</v>
      </c>
    </row>
    <row r="7" customFormat="false" ht="15" hidden="false" customHeight="false" outlineLevel="0" collapsed="false">
      <c r="A7" s="8" t="s">
        <v>54</v>
      </c>
      <c r="B7" s="8" t="s">
        <v>84</v>
      </c>
      <c r="C7" s="8" t="s">
        <v>85</v>
      </c>
      <c r="D7" s="8" t="s">
        <v>14</v>
      </c>
      <c r="E7" s="8" t="n">
        <v>2800</v>
      </c>
      <c r="F7" s="38" t="n">
        <f aca="false">IFERROR(VALUE(SUBSTITUTE(SUBSTITUTE('UNDAWN INDOFLAZ'!E7,"Rp. ",""),".","")),'UNDAWN INDOFLAZ'!E7)</f>
        <v>413588</v>
      </c>
      <c r="G7" s="38" t="n">
        <f aca="false">IFERROR(VALUE(SUBSTITUTE(SUBSTITUTE('UNDAWN INDOFLAZ'!F7,"Rp. ",""),".","")),'UNDAWN INDOFLAZ'!F7)</f>
        <v>409572</v>
      </c>
      <c r="H7" s="38" t="n">
        <f aca="false">IFERROR(VALUE(SUBSTITUTE(SUBSTITUTE('UNDAWN INDOFLAZ'!G7,"Rp. ",""),".","")),'UNDAWN INDOFLAZ'!G7)</f>
        <v>405557</v>
      </c>
      <c r="I7" s="8" t="s">
        <v>2622</v>
      </c>
      <c r="J7" s="38" t="n">
        <f aca="false">'UNDAWN OURA STORE'!A18</f>
        <v>449215</v>
      </c>
      <c r="K7" s="39"/>
      <c r="L7" s="39"/>
      <c r="M7" s="8" t="n">
        <f aca="false">COUNT(J7:L7)</f>
        <v>1</v>
      </c>
      <c r="N7" s="40" t="str">
        <f aca="false">IF(M7&gt;0,"Ada","Tidak Ada")</f>
        <v>Ada</v>
      </c>
      <c r="O7" s="41" t="n">
        <f aca="false">IF(M7&gt;0,MIN(J7:L7),"-")</f>
        <v>449215</v>
      </c>
      <c r="P7" s="41" t="n">
        <f aca="false">IF(M7&gt;0,AVERAGE(J7:L7),"-")</f>
        <v>449215</v>
      </c>
      <c r="Q7" s="41" t="n">
        <f aca="false">IF(M7&gt;0,O7-G7,"-")</f>
        <v>39643</v>
      </c>
      <c r="R7" s="42" t="n">
        <f aca="false">IF(M7&gt;0,IFERROR(Q7/O7,"-"),"-")</f>
        <v>0.0882495019088855</v>
      </c>
      <c r="S7" s="41" t="n">
        <f aca="false">IF(M7&gt;0,ROUND(MAX(G7*1.08,O7*0.97)/100,0)*100,ROUND(G7*1.12/100,0)*100)</f>
        <v>442300</v>
      </c>
      <c r="T7" s="42" t="n">
        <f aca="false">IFERROR((S7-G7)/S7,"-")</f>
        <v>0.0739950260004522</v>
      </c>
    </row>
    <row r="8" customFormat="false" ht="15" hidden="false" customHeight="false" outlineLevel="0" collapsed="false">
      <c r="A8" s="8" t="s">
        <v>54</v>
      </c>
      <c r="B8" s="8" t="s">
        <v>90</v>
      </c>
      <c r="C8" s="8" t="s">
        <v>91</v>
      </c>
      <c r="D8" s="8" t="s">
        <v>14</v>
      </c>
      <c r="E8" s="8" t="n">
        <v>4750</v>
      </c>
      <c r="F8" s="38" t="n">
        <f aca="false">IFERROR(VALUE(SUBSTITUTE(SUBSTITUTE('UNDAWN INDOFLAZ'!E8,"Rp. ",""),".","")),'UNDAWN INDOFLAZ'!E8)</f>
        <v>689926</v>
      </c>
      <c r="G8" s="38" t="n">
        <f aca="false">IFERROR(VALUE(SUBSTITUTE(SUBSTITUTE('UNDAWN INDOFLAZ'!F8,"Rp. ",""),".","")),'UNDAWN INDOFLAZ'!F8)</f>
        <v>683228</v>
      </c>
      <c r="H8" s="38" t="n">
        <f aca="false">IFERROR(VALUE(SUBSTITUTE(SUBSTITUTE('UNDAWN INDOFLAZ'!G8,"Rp. ",""),".","")),'UNDAWN INDOFLAZ'!G8)</f>
        <v>676530</v>
      </c>
      <c r="I8" s="8" t="s">
        <v>2622</v>
      </c>
      <c r="J8" s="38" t="n">
        <f aca="false">'UNDAWN OURA STORE'!A20</f>
        <v>749359</v>
      </c>
      <c r="K8" s="39"/>
      <c r="L8" s="39"/>
      <c r="M8" s="8" t="n">
        <f aca="false">COUNT(J8:L8)</f>
        <v>1</v>
      </c>
      <c r="N8" s="40" t="str">
        <f aca="false">IF(M8&gt;0,"Ada","Tidak Ada")</f>
        <v>Ada</v>
      </c>
      <c r="O8" s="41" t="n">
        <f aca="false">IF(M8&gt;0,MIN(J8:L8),"-")</f>
        <v>749359</v>
      </c>
      <c r="P8" s="41" t="n">
        <f aca="false">IF(M8&gt;0,AVERAGE(J8:L8),"-")</f>
        <v>749359</v>
      </c>
      <c r="Q8" s="41" t="n">
        <f aca="false">IF(M8&gt;0,O8-G8,"-")</f>
        <v>66131</v>
      </c>
      <c r="R8" s="42" t="n">
        <f aca="false">IF(M8&gt;0,IFERROR(Q8/O8,"-"),"-")</f>
        <v>0.0882500910778412</v>
      </c>
      <c r="S8" s="41" t="n">
        <f aca="false">IF(M8&gt;0,ROUND(MAX(G8*1.08,O8*0.97)/100,0)*100,ROUND(G8*1.12/100,0)*100)</f>
        <v>737900</v>
      </c>
      <c r="T8" s="42" t="n">
        <f aca="false">IFERROR((S8-G8)/S8,"-")</f>
        <v>0.0740913402900122</v>
      </c>
    </row>
    <row r="9" customFormat="false" ht="15" hidden="false" customHeight="false" outlineLevel="0" collapsed="false">
      <c r="A9" s="8" t="s">
        <v>54</v>
      </c>
      <c r="B9" s="8" t="s">
        <v>96</v>
      </c>
      <c r="C9" s="8" t="s">
        <v>97</v>
      </c>
      <c r="D9" s="8" t="s">
        <v>14</v>
      </c>
      <c r="E9" s="8" t="n">
        <v>9600</v>
      </c>
      <c r="F9" s="38" t="n">
        <f aca="false">IFERROR(VALUE(SUBSTITUTE(SUBSTITUTE('UNDAWN INDOFLAZ'!E9,"Rp. ",""),".","")),'UNDAWN INDOFLAZ'!E9)</f>
        <v>1367368</v>
      </c>
      <c r="G9" s="38" t="n">
        <f aca="false">IFERROR(VALUE(SUBSTITUTE(SUBSTITUTE('UNDAWN INDOFLAZ'!F9,"Rp. ",""),".","")),'UNDAWN INDOFLAZ'!F9)</f>
        <v>1353962</v>
      </c>
      <c r="H9" s="38" t="n">
        <f aca="false">IFERROR(VALUE(SUBSTITUTE(SUBSTITUTE('UNDAWN INDOFLAZ'!G9,"Rp. ",""),".","")),'UNDAWN INDOFLAZ'!G9)</f>
        <v>1347259</v>
      </c>
      <c r="I9" s="8" t="s">
        <v>2622</v>
      </c>
      <c r="J9" s="38" t="n">
        <f aca="false">'UNDAWN OURA STORE'!A22</f>
        <v>1499716</v>
      </c>
      <c r="K9" s="39"/>
      <c r="L9" s="39"/>
      <c r="M9" s="8" t="n">
        <f aca="false">COUNT(J9:L9)</f>
        <v>1</v>
      </c>
      <c r="N9" s="40" t="str">
        <f aca="false">IF(M9&gt;0,"Ada","Tidak Ada")</f>
        <v>Ada</v>
      </c>
      <c r="O9" s="41" t="n">
        <f aca="false">IF(M9&gt;0,MIN(J9:L9),"-")</f>
        <v>1499716</v>
      </c>
      <c r="P9" s="41" t="n">
        <f aca="false">IF(M9&gt;0,AVERAGE(J9:L9),"-")</f>
        <v>1499716</v>
      </c>
      <c r="Q9" s="41" t="n">
        <f aca="false">IF(M9&gt;0,O9-G9,"-")</f>
        <v>145754</v>
      </c>
      <c r="R9" s="42" t="n">
        <f aca="false">IF(M9&gt;0,IFERROR(Q9/O9,"-"),"-")</f>
        <v>0.0971877342110106</v>
      </c>
      <c r="S9" s="41" t="n">
        <f aca="false">IF(M9&gt;0,ROUND(MAX(G9*1.08,O9*0.97)/100,0)*100,ROUND(G9*1.12/100,0)*100)</f>
        <v>1462300</v>
      </c>
      <c r="T9" s="42" t="n">
        <f aca="false">IFERROR((S9-G9)/S9,"-")</f>
        <v>0.0740873965670519</v>
      </c>
    </row>
    <row r="10" customFormat="false" ht="15" hidden="false" customHeight="false" outlineLevel="0" collapsed="false">
      <c r="A10" s="8" t="s">
        <v>54</v>
      </c>
      <c r="B10" s="8" t="s">
        <v>102</v>
      </c>
      <c r="C10" s="8" t="s">
        <v>103</v>
      </c>
      <c r="D10" s="8" t="s">
        <v>14</v>
      </c>
      <c r="E10" s="8" t="n">
        <v>33000</v>
      </c>
      <c r="F10" s="38" t="n">
        <f aca="false">IFERROR(VALUE(SUBSTITUTE(SUBSTITUTE('UNDAWN INDOFLAZ'!E10,"Rp. ",""),".","")),'UNDAWN INDOFLAZ'!E10)</f>
        <v>4560930</v>
      </c>
      <c r="G10" s="38" t="n">
        <f aca="false">IFERROR(VALUE(SUBSTITUTE(SUBSTITUTE('UNDAWN INDOFLAZ'!F10,"Rp. ",""),".","")),'UNDAWN INDOFLAZ'!F10)</f>
        <v>4516215</v>
      </c>
      <c r="H10" s="38" t="n">
        <f aca="false">IFERROR(VALUE(SUBSTITUTE(SUBSTITUTE('UNDAWN INDOFLAZ'!G10,"Rp. ",""),".","")),'UNDAWN INDOFLAZ'!G10)</f>
        <v>4493858</v>
      </c>
      <c r="I10" s="8" t="s">
        <v>2622</v>
      </c>
      <c r="J10" s="38" t="n">
        <f aca="false">'UNDAWN OURA STORE'!A24</f>
        <v>5002388</v>
      </c>
      <c r="K10" s="39"/>
      <c r="L10" s="39"/>
      <c r="M10" s="8" t="n">
        <f aca="false">COUNT(J10:L10)</f>
        <v>1</v>
      </c>
      <c r="N10" s="40" t="str">
        <f aca="false">IF(M10&gt;0,"Ada","Tidak Ada")</f>
        <v>Ada</v>
      </c>
      <c r="O10" s="41" t="n">
        <f aca="false">IF(M10&gt;0,MIN(J10:L10),"-")</f>
        <v>5002388</v>
      </c>
      <c r="P10" s="41" t="n">
        <f aca="false">IF(M10&gt;0,AVERAGE(J10:L10),"-")</f>
        <v>5002388</v>
      </c>
      <c r="Q10" s="41" t="n">
        <f aca="false">IF(M10&gt;0,O10-G10,"-")</f>
        <v>486173</v>
      </c>
      <c r="R10" s="42" t="n">
        <f aca="false">IF(M10&gt;0,IFERROR(Q10/O10,"-"),"-")</f>
        <v>0.0971881829238356</v>
      </c>
      <c r="S10" s="41" t="n">
        <f aca="false">IF(M10&gt;0,ROUND(MAX(G10*1.08,O10*0.97)/100,0)*100,ROUND(G10*1.12/100,0)*100)</f>
        <v>4877500</v>
      </c>
      <c r="T10" s="42" t="n">
        <f aca="false">IFERROR((S10-G10)/S10,"-")</f>
        <v>0.0740717580727832</v>
      </c>
    </row>
    <row r="11" customFormat="false" ht="15" hidden="false" customHeight="false" outlineLevel="0" collapsed="false">
      <c r="A11" s="8" t="s">
        <v>54</v>
      </c>
      <c r="B11" s="8" t="s">
        <v>108</v>
      </c>
      <c r="C11" s="8" t="s">
        <v>109</v>
      </c>
      <c r="D11" s="8" t="s">
        <v>14</v>
      </c>
      <c r="E11" s="8" t="n">
        <v>66500</v>
      </c>
      <c r="F11" s="38" t="n">
        <f aca="false">IFERROR(VALUE(SUBSTITUTE(SUBSTITUTE('UNDAWN INDOFLAZ'!E11,"Rp. ",""),".","")),'UNDAWN INDOFLAZ'!E11)</f>
        <v>9121860</v>
      </c>
      <c r="G11" s="38" t="n">
        <f aca="false">IFERROR(VALUE(SUBSTITUTE(SUBSTITUTE('UNDAWN INDOFLAZ'!F11,"Rp. ",""),".","")),'UNDAWN INDOFLAZ'!F11)</f>
        <v>9032430</v>
      </c>
      <c r="H11" s="38" t="n">
        <f aca="false">IFERROR(VALUE(SUBSTITUTE(SUBSTITUTE('UNDAWN INDOFLAZ'!G11,"Rp. ",""),".","")),'UNDAWN INDOFLAZ'!G11)</f>
        <v>8987715</v>
      </c>
      <c r="I11" s="8" t="s">
        <v>2622</v>
      </c>
      <c r="J11" s="38" t="n">
        <f aca="false">'UNDAWN OURA STORE'!A26</f>
        <v>10004775</v>
      </c>
      <c r="K11" s="39"/>
      <c r="L11" s="39"/>
      <c r="M11" s="8" t="n">
        <f aca="false">COUNT(J11:L11)</f>
        <v>1</v>
      </c>
      <c r="N11" s="40" t="str">
        <f aca="false">IF(M11&gt;0,"Ada","Tidak Ada")</f>
        <v>Ada</v>
      </c>
      <c r="O11" s="41" t="n">
        <f aca="false">IF(M11&gt;0,MIN(J11:L11),"-")</f>
        <v>10004775</v>
      </c>
      <c r="P11" s="41" t="n">
        <f aca="false">IF(M11&gt;0,AVERAGE(J11:L11),"-")</f>
        <v>10004775</v>
      </c>
      <c r="Q11" s="41" t="n">
        <f aca="false">IF(M11&gt;0,O11-G11,"-")</f>
        <v>972345</v>
      </c>
      <c r="R11" s="42" t="n">
        <f aca="false">IF(M11&gt;0,IFERROR(Q11/O11,"-"),"-")</f>
        <v>0.0971880926857426</v>
      </c>
      <c r="S11" s="41" t="n">
        <f aca="false">IF(M11&gt;0,ROUND(MAX(G11*1.08,O11*0.97)/100,0)*100,ROUND(G11*1.12/100,0)*100)</f>
        <v>9755000</v>
      </c>
      <c r="T11" s="42" t="n">
        <f aca="false">IFERROR((S11-G11)/S11,"-")</f>
        <v>0.0740717580727832</v>
      </c>
    </row>
    <row r="12" customFormat="false" ht="15" hidden="false" customHeight="false" outlineLevel="0" collapsed="false">
      <c r="A12" s="8" t="s">
        <v>119</v>
      </c>
      <c r="B12" s="8" t="s">
        <v>118</v>
      </c>
      <c r="C12" s="8" t="s">
        <v>120</v>
      </c>
      <c r="D12" s="8" t="s">
        <v>15</v>
      </c>
      <c r="E12" s="8" t="n">
        <v>425</v>
      </c>
      <c r="F12" s="38" t="n">
        <f aca="false">IFERROR(VALUE(SUBSTITUTE(SUBSTITUTE('League of Legend Wild drift IND'!E2,"Rp. ",""),".","")),'League of Legend Wild drift IND'!E2)</f>
        <v>53172</v>
      </c>
      <c r="G12" s="38" t="n">
        <f aca="false">IFERROR(VALUE(SUBSTITUTE(SUBSTITUTE('League of Legend Wild drift IND'!F2,"Rp. ",""),".","")),'League of Legend Wild drift IND'!F2)</f>
        <v>52656</v>
      </c>
      <c r="H12" s="38" t="n">
        <f aca="false">IFERROR(VALUE(SUBSTITUTE(SUBSTITUTE('League of Legend Wild drift IND'!G2,"Rp. ",""),".","")),'League of Legend Wild drift IND'!G2)</f>
        <v>52140</v>
      </c>
      <c r="I12" s="8" t="s">
        <v>2623</v>
      </c>
      <c r="J12" s="38" t="n">
        <f aca="false">'League of Legend Wild drift OUR'!A4</f>
        <v>54259</v>
      </c>
      <c r="K12" s="38" t="n">
        <f aca="false">'League of Legend Wild drift OUR'!A18</f>
        <v>70384</v>
      </c>
      <c r="L12" s="38" t="n">
        <f aca="false">'League of Legend Wild drift OUR'!A32</f>
        <v>57227</v>
      </c>
      <c r="M12" s="8" t="n">
        <f aca="false">COUNT(J12:L12)</f>
        <v>3</v>
      </c>
      <c r="N12" s="40" t="str">
        <f aca="false">IF(M12&gt;0,"Ada","Tidak Ada")</f>
        <v>Ada</v>
      </c>
      <c r="O12" s="41" t="n">
        <f aca="false">IF(M12&gt;0,MIN(J12:L12),"-")</f>
        <v>54259</v>
      </c>
      <c r="P12" s="41" t="n">
        <f aca="false">IF(M12&gt;0,AVERAGE(J12:L12),"-")</f>
        <v>60623.3333333333</v>
      </c>
      <c r="Q12" s="41" t="n">
        <f aca="false">IF(M12&gt;0,O12-G12,"-")</f>
        <v>1603</v>
      </c>
      <c r="R12" s="42" t="n">
        <f aca="false">IF(M12&gt;0,IFERROR(Q12/O12,"-"),"-")</f>
        <v>0.0295434858733113</v>
      </c>
      <c r="S12" s="41" t="n">
        <f aca="false">IF(M12&gt;0,ROUND(MAX(G12*1.08,O12*0.97)/100,0)*100,ROUND(G12*1.12/100,0)*100)</f>
        <v>56900</v>
      </c>
      <c r="T12" s="42" t="n">
        <f aca="false">IFERROR((S12-G12)/S12,"-")</f>
        <v>0.0745869947275923</v>
      </c>
    </row>
    <row r="13" customFormat="false" ht="15" hidden="false" customHeight="false" outlineLevel="0" collapsed="false">
      <c r="A13" s="8" t="s">
        <v>119</v>
      </c>
      <c r="B13" s="8" t="s">
        <v>125</v>
      </c>
      <c r="C13" s="8" t="s">
        <v>126</v>
      </c>
      <c r="D13" s="8" t="s">
        <v>15</v>
      </c>
      <c r="E13" s="8" t="n">
        <v>1000</v>
      </c>
      <c r="F13" s="38" t="n">
        <f aca="false">IFERROR(VALUE(SUBSTITUTE(SUBSTITUTE('League of Legend Wild drift IND'!E3,"Rp. ",""),".","")),'League of Legend Wild drift IND'!E3)</f>
        <v>118687</v>
      </c>
      <c r="G13" s="38" t="n">
        <f aca="false">IFERROR(VALUE(SUBSTITUTE(SUBSTITUTE('League of Legend Wild drift IND'!F3,"Rp. ",""),".","")),'League of Legend Wild drift IND'!F3)</f>
        <v>117535</v>
      </c>
      <c r="H13" s="38" t="n">
        <f aca="false">IFERROR(VALUE(SUBSTITUTE(SUBSTITUTE('League of Legend Wild drift IND'!G3,"Rp. ",""),".","")),'League of Legend Wild drift IND'!G3)</f>
        <v>116383</v>
      </c>
      <c r="I13" s="8" t="s">
        <v>2623</v>
      </c>
      <c r="J13" s="38" t="n">
        <f aca="false">'League of Legend Wild drift OUR'!A6</f>
        <v>121113</v>
      </c>
      <c r="K13" s="38" t="n">
        <f aca="false">'League of Legend Wild drift OUR'!A20</f>
        <v>154545</v>
      </c>
      <c r="L13" s="38" t="n">
        <f aca="false">'League of Legend Wild drift OUR'!A34</f>
        <v>128473</v>
      </c>
      <c r="M13" s="8" t="n">
        <f aca="false">COUNT(J13:L13)</f>
        <v>3</v>
      </c>
      <c r="N13" s="40" t="str">
        <f aca="false">IF(M13&gt;0,"Ada","Tidak Ada")</f>
        <v>Ada</v>
      </c>
      <c r="O13" s="41" t="n">
        <f aca="false">IF(M13&gt;0,MIN(J13:L13),"-")</f>
        <v>121113</v>
      </c>
      <c r="P13" s="41" t="n">
        <f aca="false">IF(M13&gt;0,AVERAGE(J13:L13),"-")</f>
        <v>134710.333333333</v>
      </c>
      <c r="Q13" s="41" t="n">
        <f aca="false">IF(M13&gt;0,O13-G13,"-")</f>
        <v>3578</v>
      </c>
      <c r="R13" s="42" t="n">
        <f aca="false">IF(M13&gt;0,IFERROR(Q13/O13,"-"),"-")</f>
        <v>0.0295426585089957</v>
      </c>
      <c r="S13" s="41" t="n">
        <f aca="false">IF(M13&gt;0,ROUND(MAX(G13*1.08,O13*0.97)/100,0)*100,ROUND(G13*1.12/100,0)*100)</f>
        <v>126900</v>
      </c>
      <c r="T13" s="42" t="n">
        <f aca="false">IFERROR((S13-G13)/S13,"-")</f>
        <v>0.0737982663514578</v>
      </c>
    </row>
    <row r="14" customFormat="false" ht="15" hidden="false" customHeight="false" outlineLevel="0" collapsed="false">
      <c r="A14" s="8" t="s">
        <v>119</v>
      </c>
      <c r="B14" s="8" t="s">
        <v>131</v>
      </c>
      <c r="C14" s="8" t="s">
        <v>132</v>
      </c>
      <c r="D14" s="8" t="s">
        <v>15</v>
      </c>
      <c r="E14" s="8" t="n">
        <v>1850</v>
      </c>
      <c r="F14" s="38" t="n">
        <f aca="false">IFERROR(VALUE(SUBSTITUTE(SUBSTITUTE('League of Legend Wild drift IND'!E4,"Rp. ",""),".","")),'League of Legend Wild drift IND'!E4)</f>
        <v>213637</v>
      </c>
      <c r="G14" s="38" t="n">
        <f aca="false">IFERROR(VALUE(SUBSTITUTE(SUBSTITUTE('League of Legend Wild drift IND'!F4,"Rp. ",""),".","")),'League of Legend Wild drift IND'!F4)</f>
        <v>211563</v>
      </c>
      <c r="H14" s="38" t="n">
        <f aca="false">IFERROR(VALUE(SUBSTITUTE(SUBSTITUTE('League of Legend Wild drift IND'!G4,"Rp. ",""),".","")),'League of Legend Wild drift IND'!G4)</f>
        <v>209489</v>
      </c>
      <c r="I14" s="8" t="s">
        <v>2623</v>
      </c>
      <c r="J14" s="38" t="n">
        <f aca="false">'League of Legend Wild drift OUR'!A8</f>
        <v>218003</v>
      </c>
      <c r="K14" s="38" t="n">
        <f aca="false">'League of Legend Wild drift OUR'!A22</f>
        <v>282649</v>
      </c>
      <c r="L14" s="38" t="n">
        <f aca="false">'League of Legend Wild drift OUR'!A36</f>
        <v>234341</v>
      </c>
      <c r="M14" s="8" t="n">
        <f aca="false">COUNT(J14:L14)</f>
        <v>3</v>
      </c>
      <c r="N14" s="40" t="str">
        <f aca="false">IF(M14&gt;0,"Ada","Tidak Ada")</f>
        <v>Ada</v>
      </c>
      <c r="O14" s="41" t="n">
        <f aca="false">IF(M14&gt;0,MIN(J14:L14),"-")</f>
        <v>218003</v>
      </c>
      <c r="P14" s="41" t="n">
        <f aca="false">IF(M14&gt;0,AVERAGE(J14:L14),"-")</f>
        <v>244997.666666667</v>
      </c>
      <c r="Q14" s="41" t="n">
        <f aca="false">IF(M14&gt;0,O14-G14,"-")</f>
        <v>6440</v>
      </c>
      <c r="R14" s="42" t="n">
        <f aca="false">IF(M14&gt;0,IFERROR(Q14/O14,"-"),"-")</f>
        <v>0.0295408778778274</v>
      </c>
      <c r="S14" s="41" t="n">
        <f aca="false">IF(M14&gt;0,ROUND(MAX(G14*1.08,O14*0.97)/100,0)*100,ROUND(G14*1.12/100,0)*100)</f>
        <v>228500</v>
      </c>
      <c r="T14" s="42" t="n">
        <f aca="false">IFERROR((S14-G14)/S14,"-")</f>
        <v>0.0741225382932166</v>
      </c>
    </row>
    <row r="15" customFormat="false" ht="15" hidden="false" customHeight="false" outlineLevel="0" collapsed="false">
      <c r="A15" s="8" t="s">
        <v>119</v>
      </c>
      <c r="B15" s="8" t="s">
        <v>137</v>
      </c>
      <c r="C15" s="8" t="s">
        <v>138</v>
      </c>
      <c r="D15" s="8" t="s">
        <v>15</v>
      </c>
      <c r="E15" s="8" t="n">
        <v>3275</v>
      </c>
      <c r="F15" s="38" t="n">
        <f aca="false">IFERROR(VALUE(SUBSTITUTE(SUBSTITUTE('League of Legend Wild drift IND'!E5,"Rp. ",""),".","")),'League of Legend Wild drift IND'!E5)</f>
        <v>375051</v>
      </c>
      <c r="G15" s="38" t="n">
        <f aca="false">IFERROR(VALUE(SUBSTITUTE(SUBSTITUTE('League of Legend Wild drift IND'!F5,"Rp. ",""),".","")),'League of Legend Wild drift IND'!F5)</f>
        <v>371410</v>
      </c>
      <c r="H15" s="38" t="n">
        <f aca="false">IFERROR(VALUE(SUBSTITUTE(SUBSTITUTE('League of Legend Wild drift IND'!G5,"Rp. ",""),".","")),'League of Legend Wild drift IND'!G5)</f>
        <v>367769</v>
      </c>
      <c r="I15" s="8" t="s">
        <v>2623</v>
      </c>
      <c r="J15" s="38" t="n">
        <f aca="false">'League of Legend Wild drift OUR'!A10</f>
        <v>382716</v>
      </c>
      <c r="K15" s="38" t="n">
        <f aca="false">'League of Legend Wild drift OUR'!A24</f>
        <v>494915</v>
      </c>
      <c r="L15" s="38" t="n">
        <f aca="false">'League of Legend Wild drift OUR'!A38</f>
        <v>409166</v>
      </c>
      <c r="M15" s="8" t="n">
        <f aca="false">COUNT(J15:L15)</f>
        <v>3</v>
      </c>
      <c r="N15" s="40" t="str">
        <f aca="false">IF(M15&gt;0,"Ada","Tidak Ada")</f>
        <v>Ada</v>
      </c>
      <c r="O15" s="41" t="n">
        <f aca="false">IF(M15&gt;0,MIN(J15:L15),"-")</f>
        <v>382716</v>
      </c>
      <c r="P15" s="41" t="n">
        <f aca="false">IF(M15&gt;0,AVERAGE(J15:L15),"-")</f>
        <v>428932.333333333</v>
      </c>
      <c r="Q15" s="41" t="n">
        <f aca="false">IF(M15&gt;0,O15-G15,"-")</f>
        <v>11306</v>
      </c>
      <c r="R15" s="42" t="n">
        <f aca="false">IF(M15&gt;0,IFERROR(Q15/O15,"-"),"-")</f>
        <v>0.0295414876827726</v>
      </c>
      <c r="S15" s="41" t="n">
        <f aca="false">IF(M15&gt;0,ROUND(MAX(G15*1.08,O15*0.97)/100,0)*100,ROUND(G15*1.12/100,0)*100)</f>
        <v>401100</v>
      </c>
      <c r="T15" s="42" t="n">
        <f aca="false">IFERROR((S15-G15)/S15,"-")</f>
        <v>0.0740214410371479</v>
      </c>
    </row>
    <row r="16" customFormat="false" ht="15" hidden="false" customHeight="false" outlineLevel="0" collapsed="false">
      <c r="A16" s="8" t="s">
        <v>119</v>
      </c>
      <c r="B16" s="8" t="s">
        <v>143</v>
      </c>
      <c r="C16" s="8" t="s">
        <v>144</v>
      </c>
      <c r="D16" s="8" t="s">
        <v>15</v>
      </c>
      <c r="E16" s="8" t="n">
        <v>4800</v>
      </c>
      <c r="F16" s="38" t="n">
        <f aca="false">IFERROR(VALUE(SUBSTITUTE(SUBSTITUTE('League of Legend Wild drift IND'!E6,"Rp. ",""),".","")),'League of Legend Wild drift IND'!E6)</f>
        <v>536466</v>
      </c>
      <c r="G16" s="38" t="n">
        <f aca="false">IFERROR(VALUE(SUBSTITUTE(SUBSTITUTE('League of Legend Wild drift IND'!F6,"Rp. ",""),".","")),'League of Legend Wild drift IND'!F6)</f>
        <v>531257</v>
      </c>
      <c r="H16" s="38" t="n">
        <f aca="false">IFERROR(VALUE(SUBSTITUTE(SUBSTITUTE('League of Legend Wild drift IND'!G6,"Rp. ",""),".","")),'League of Legend Wild drift IND'!G6)</f>
        <v>526049</v>
      </c>
      <c r="I16" s="8" t="s">
        <v>2623</v>
      </c>
      <c r="J16" s="38" t="n">
        <f aca="false">'League of Legend Wild drift OUR'!A12</f>
        <v>547428</v>
      </c>
      <c r="K16" s="38" t="n">
        <f aca="false">'League of Legend Wild drift OUR'!A26</f>
        <v>707180</v>
      </c>
      <c r="L16" s="38" t="n">
        <f aca="false">'League of Legend Wild drift OUR'!A40</f>
        <v>586566</v>
      </c>
      <c r="M16" s="8" t="n">
        <f aca="false">COUNT(J16:L16)</f>
        <v>3</v>
      </c>
      <c r="N16" s="40" t="str">
        <f aca="false">IF(M16&gt;0,"Ada","Tidak Ada")</f>
        <v>Ada</v>
      </c>
      <c r="O16" s="41" t="n">
        <f aca="false">IF(M16&gt;0,MIN(J16:L16),"-")</f>
        <v>547428</v>
      </c>
      <c r="P16" s="41" t="n">
        <f aca="false">IF(M16&gt;0,AVERAGE(J16:L16),"-")</f>
        <v>613724.666666667</v>
      </c>
      <c r="Q16" s="41" t="n">
        <f aca="false">IF(M16&gt;0,O16-G16,"-")</f>
        <v>16171</v>
      </c>
      <c r="R16" s="42" t="n">
        <f aca="false">IF(M16&gt;0,IFERROR(Q16/O16,"-"),"-")</f>
        <v>0.0295399577661355</v>
      </c>
      <c r="S16" s="41" t="n">
        <f aca="false">IF(M16&gt;0,ROUND(MAX(G16*1.08,O16*0.97)/100,0)*100,ROUND(G16*1.12/100,0)*100)</f>
        <v>573800</v>
      </c>
      <c r="T16" s="42" t="n">
        <f aca="false">IFERROR((S16-G16)/S16,"-")</f>
        <v>0.0741425583827118</v>
      </c>
    </row>
    <row r="17" customFormat="false" ht="15" hidden="false" customHeight="false" outlineLevel="0" collapsed="false">
      <c r="A17" s="8" t="s">
        <v>119</v>
      </c>
      <c r="B17" s="8" t="s">
        <v>149</v>
      </c>
      <c r="C17" s="8" t="s">
        <v>150</v>
      </c>
      <c r="D17" s="8" t="s">
        <v>15</v>
      </c>
      <c r="E17" s="8" t="n">
        <v>10000</v>
      </c>
      <c r="F17" s="38" t="n">
        <f aca="false">IFERROR(VALUE(SUBSTITUTE(SUBSTITUTE('League of Legend Wild drift IND'!E7,"Rp. ",""),".","")),'League of Legend Wild drift IND'!E7)</f>
        <v>1071980</v>
      </c>
      <c r="G17" s="38" t="n">
        <f aca="false">IFERROR(VALUE(SUBSTITUTE(SUBSTITUTE('League of Legend Wild drift IND'!F7,"Rp. ",""),".","")),'League of Legend Wild drift IND'!F7)</f>
        <v>1061573</v>
      </c>
      <c r="H17" s="38" t="n">
        <f aca="false">IFERROR(VALUE(SUBSTITUTE(SUBSTITUTE('League of Legend Wild drift IND'!G7,"Rp. ",""),".","")),'League of Legend Wild drift IND'!G7)</f>
        <v>1051165</v>
      </c>
      <c r="I17" s="8" t="s">
        <v>2623</v>
      </c>
      <c r="J17" s="38" t="n">
        <f aca="false">'League of Legend Wild drift OUR'!A14</f>
        <v>1093887</v>
      </c>
      <c r="K17" s="38" t="n">
        <f aca="false">'League of Legend Wild drift OUR'!A28</f>
        <v>1414732</v>
      </c>
      <c r="L17" s="38" t="n">
        <f aca="false">'League of Legend Wild drift OUR'!A42</f>
        <v>1170270</v>
      </c>
      <c r="M17" s="8" t="n">
        <f aca="false">COUNT(J17:L17)</f>
        <v>3</v>
      </c>
      <c r="N17" s="40" t="str">
        <f aca="false">IF(M17&gt;0,"Ada","Tidak Ada")</f>
        <v>Ada</v>
      </c>
      <c r="O17" s="41" t="n">
        <f aca="false">IF(M17&gt;0,MIN(J17:L17),"-")</f>
        <v>1093887</v>
      </c>
      <c r="P17" s="41" t="n">
        <f aca="false">IF(M17&gt;0,AVERAGE(J17:L17),"-")</f>
        <v>1226296.33333333</v>
      </c>
      <c r="Q17" s="41" t="n">
        <f aca="false">IF(M17&gt;0,O17-G17,"-")</f>
        <v>32314</v>
      </c>
      <c r="R17" s="42" t="n">
        <f aca="false">IF(M17&gt;0,IFERROR(Q17/O17,"-"),"-")</f>
        <v>0.0295405284092415</v>
      </c>
      <c r="S17" s="41" t="n">
        <f aca="false">IF(M17&gt;0,ROUND(MAX(G17*1.08,O17*0.97)/100,0)*100,ROUND(G17*1.12/100,0)*100)</f>
        <v>1146500</v>
      </c>
      <c r="T17" s="42" t="n">
        <f aca="false">IFERROR((S17-G17)/S17,"-")</f>
        <v>0.0740750109027475</v>
      </c>
    </row>
    <row r="18" customFormat="false" ht="15" hidden="false" customHeight="false" outlineLevel="0" collapsed="false">
      <c r="A18" s="8" t="s">
        <v>156</v>
      </c>
      <c r="B18" s="8" t="s">
        <v>155</v>
      </c>
      <c r="C18" s="8" t="s">
        <v>157</v>
      </c>
      <c r="D18" s="8" t="s">
        <v>16</v>
      </c>
      <c r="E18" s="8" t="n">
        <v>40</v>
      </c>
      <c r="F18" s="38" t="n">
        <f aca="false">IFERROR(VALUE(SUBSTITUTE(SUBSTITUTE('AOV INDOFLAZ'!E2,"Rp. ",""),".","")),'AOV INDOFLAZ'!E2)</f>
        <v>9464</v>
      </c>
      <c r="G18" s="38" t="n">
        <f aca="false">IFERROR(VALUE(SUBSTITUTE(SUBSTITUTE('AOV INDOFLAZ'!F2,"Rp. ",""),".","")),'AOV INDOFLAZ'!F2)</f>
        <v>9373</v>
      </c>
      <c r="H18" s="38" t="n">
        <f aca="false">IFERROR(VALUE(SUBSTITUTE(SUBSTITUTE('AOV INDOFLAZ'!G2,"Rp. ",""),".","")),'AOV INDOFLAZ'!G2)</f>
        <v>9282</v>
      </c>
      <c r="I18" s="8" t="s">
        <v>2624</v>
      </c>
      <c r="J18" s="38" t="n">
        <f aca="false">'AOV OURA STORE'!A4</f>
        <v>9785</v>
      </c>
      <c r="K18" s="39"/>
      <c r="L18" s="39"/>
      <c r="M18" s="8" t="n">
        <f aca="false">COUNT(J18:L18)</f>
        <v>1</v>
      </c>
      <c r="N18" s="40" t="str">
        <f aca="false">IF(M18&gt;0,"Ada","Tidak Ada")</f>
        <v>Ada</v>
      </c>
      <c r="O18" s="41" t="n">
        <f aca="false">IF(M18&gt;0,MIN(J18:L18),"-")</f>
        <v>9785</v>
      </c>
      <c r="P18" s="41" t="n">
        <f aca="false">IF(M18&gt;0,AVERAGE(J18:L18),"-")</f>
        <v>9785</v>
      </c>
      <c r="Q18" s="41" t="n">
        <f aca="false">IF(M18&gt;0,O18-G18,"-")</f>
        <v>412</v>
      </c>
      <c r="R18" s="42" t="n">
        <f aca="false">IF(M18&gt;0,IFERROR(Q18/O18,"-"),"-")</f>
        <v>0.0421052631578947</v>
      </c>
      <c r="S18" s="41" t="n">
        <f aca="false">IF(M18&gt;0,ROUND(MAX(G18*1.08,O18*0.97)/100,0)*100,ROUND(G18*1.12/100,0)*100)</f>
        <v>10100</v>
      </c>
      <c r="T18" s="42" t="n">
        <f aca="false">IFERROR((S18-G18)/S18,"-")</f>
        <v>0.071980198019802</v>
      </c>
    </row>
    <row r="19" customFormat="false" ht="15" hidden="false" customHeight="false" outlineLevel="0" collapsed="false">
      <c r="A19" s="8" t="s">
        <v>156</v>
      </c>
      <c r="B19" s="8" t="s">
        <v>162</v>
      </c>
      <c r="C19" s="8" t="s">
        <v>163</v>
      </c>
      <c r="D19" s="8" t="s">
        <v>16</v>
      </c>
      <c r="E19" s="8" t="n">
        <v>90</v>
      </c>
      <c r="F19" s="38" t="n">
        <f aca="false">IFERROR(VALUE(SUBSTITUTE(SUBSTITUTE('AOV INDOFLAZ'!E3,"Rp. ",""),".","")),'AOV INDOFLAZ'!E3)</f>
        <v>18928</v>
      </c>
      <c r="G19" s="38" t="n">
        <f aca="false">IFERROR(VALUE(SUBSTITUTE(SUBSTITUTE('AOV INDOFLAZ'!F3,"Rp. ",""),".","")),'AOV INDOFLAZ'!F3)</f>
        <v>18746</v>
      </c>
      <c r="H19" s="38" t="n">
        <f aca="false">IFERROR(VALUE(SUBSTITUTE(SUBSTITUTE('AOV INDOFLAZ'!G3,"Rp. ",""),".","")),'AOV INDOFLAZ'!G3)</f>
        <v>18564</v>
      </c>
      <c r="I19" s="8" t="s">
        <v>2624</v>
      </c>
      <c r="J19" s="38" t="n">
        <f aca="false">'AOV OURA STORE'!A6</f>
        <v>19568</v>
      </c>
      <c r="K19" s="39"/>
      <c r="L19" s="39"/>
      <c r="M19" s="8" t="n">
        <f aca="false">COUNT(J19:L19)</f>
        <v>1</v>
      </c>
      <c r="N19" s="40" t="str">
        <f aca="false">IF(M19&gt;0,"Ada","Tidak Ada")</f>
        <v>Ada</v>
      </c>
      <c r="O19" s="41" t="n">
        <f aca="false">IF(M19&gt;0,MIN(J19:L19),"-")</f>
        <v>19568</v>
      </c>
      <c r="P19" s="41" t="n">
        <f aca="false">IF(M19&gt;0,AVERAGE(J19:L19),"-")</f>
        <v>19568</v>
      </c>
      <c r="Q19" s="41" t="n">
        <f aca="false">IF(M19&gt;0,O19-G19,"-")</f>
        <v>822</v>
      </c>
      <c r="R19" s="42" t="n">
        <f aca="false">IF(M19&gt;0,IFERROR(Q19/O19,"-"),"-")</f>
        <v>0.0420073589533933</v>
      </c>
      <c r="S19" s="41" t="n">
        <f aca="false">IF(M19&gt;0,ROUND(MAX(G19*1.08,O19*0.97)/100,0)*100,ROUND(G19*1.12/100,0)*100)</f>
        <v>20200</v>
      </c>
      <c r="T19" s="42" t="n">
        <f aca="false">IFERROR((S19-G19)/S19,"-")</f>
        <v>0.071980198019802</v>
      </c>
    </row>
    <row r="20" customFormat="false" ht="15" hidden="false" customHeight="false" outlineLevel="0" collapsed="false">
      <c r="A20" s="8" t="s">
        <v>156</v>
      </c>
      <c r="B20" s="8" t="s">
        <v>168</v>
      </c>
      <c r="C20" s="8" t="s">
        <v>169</v>
      </c>
      <c r="D20" s="8" t="s">
        <v>16</v>
      </c>
      <c r="E20" s="8" t="n">
        <v>230</v>
      </c>
      <c r="F20" s="38" t="n">
        <f aca="false">IFERROR(VALUE(SUBSTITUTE(SUBSTITUTE('AOV INDOFLAZ'!E4,"Rp. ",""),".","")),'AOV INDOFLAZ'!E4)</f>
        <v>47320</v>
      </c>
      <c r="G20" s="38" t="n">
        <f aca="false">IFERROR(VALUE(SUBSTITUTE(SUBSTITUTE('AOV INDOFLAZ'!F4,"Rp. ",""),".","")),'AOV INDOFLAZ'!F4)</f>
        <v>46865</v>
      </c>
      <c r="H20" s="38" t="n">
        <f aca="false">IFERROR(VALUE(SUBSTITUTE(SUBSTITUTE('AOV INDOFLAZ'!G4,"Rp. ",""),".","")),'AOV INDOFLAZ'!G4)</f>
        <v>46410</v>
      </c>
      <c r="I20" s="8" t="s">
        <v>2624</v>
      </c>
      <c r="J20" s="38" t="n">
        <f aca="false">'AOV OURA STORE'!A8</f>
        <v>48920</v>
      </c>
      <c r="K20" s="39"/>
      <c r="L20" s="39"/>
      <c r="M20" s="8" t="n">
        <f aca="false">COUNT(J20:L20)</f>
        <v>1</v>
      </c>
      <c r="N20" s="40" t="str">
        <f aca="false">IF(M20&gt;0,"Ada","Tidak Ada")</f>
        <v>Ada</v>
      </c>
      <c r="O20" s="41" t="n">
        <f aca="false">IF(M20&gt;0,MIN(J20:L20),"-")</f>
        <v>48920</v>
      </c>
      <c r="P20" s="41" t="n">
        <f aca="false">IF(M20&gt;0,AVERAGE(J20:L20),"-")</f>
        <v>48920</v>
      </c>
      <c r="Q20" s="41" t="n">
        <f aca="false">IF(M20&gt;0,O20-G20,"-")</f>
        <v>2055</v>
      </c>
      <c r="R20" s="42" t="n">
        <f aca="false">IF(M20&gt;0,IFERROR(Q20/O20,"-"),"-")</f>
        <v>0.0420073589533933</v>
      </c>
      <c r="S20" s="41" t="n">
        <f aca="false">IF(M20&gt;0,ROUND(MAX(G20*1.08,O20*0.97)/100,0)*100,ROUND(G20*1.12/100,0)*100)</f>
        <v>50600</v>
      </c>
      <c r="T20" s="42" t="n">
        <f aca="false">IFERROR((S20-G20)/S20,"-")</f>
        <v>0.0738142292490119</v>
      </c>
    </row>
    <row r="21" customFormat="false" ht="15" hidden="false" customHeight="false" outlineLevel="0" collapsed="false">
      <c r="A21" s="8" t="s">
        <v>156</v>
      </c>
      <c r="B21" s="8" t="s">
        <v>174</v>
      </c>
      <c r="C21" s="8" t="s">
        <v>175</v>
      </c>
      <c r="D21" s="8" t="s">
        <v>16</v>
      </c>
      <c r="E21" s="8" t="n">
        <v>470</v>
      </c>
      <c r="F21" s="38" t="n">
        <f aca="false">IFERROR(VALUE(SUBSTITUTE(SUBSTITUTE('AOV INDOFLAZ'!E5,"Rp. ",""),".","")),'AOV INDOFLAZ'!E5)</f>
        <v>94640</v>
      </c>
      <c r="G21" s="38" t="n">
        <f aca="false">IFERROR(VALUE(SUBSTITUTE(SUBSTITUTE('AOV INDOFLAZ'!F5,"Rp. ",""),".","")),'AOV INDOFLAZ'!F5)</f>
        <v>93730</v>
      </c>
      <c r="H21" s="38" t="n">
        <f aca="false">IFERROR(VALUE(SUBSTITUTE(SUBSTITUTE('AOV INDOFLAZ'!G5,"Rp. ",""),".","")),'AOV INDOFLAZ'!G5)</f>
        <v>92820</v>
      </c>
      <c r="I21" s="8" t="s">
        <v>2624</v>
      </c>
      <c r="J21" s="38" t="n">
        <f aca="false">'AOV OURA STORE'!A10</f>
        <v>97838</v>
      </c>
      <c r="K21" s="39"/>
      <c r="L21" s="39"/>
      <c r="M21" s="8" t="n">
        <f aca="false">COUNT(J21:L21)</f>
        <v>1</v>
      </c>
      <c r="N21" s="40" t="str">
        <f aca="false">IF(M21&gt;0,"Ada","Tidak Ada")</f>
        <v>Ada</v>
      </c>
      <c r="O21" s="41" t="n">
        <f aca="false">IF(M21&gt;0,MIN(J21:L21),"-")</f>
        <v>97838</v>
      </c>
      <c r="P21" s="41" t="n">
        <f aca="false">IF(M21&gt;0,AVERAGE(J21:L21),"-")</f>
        <v>97838</v>
      </c>
      <c r="Q21" s="41" t="n">
        <f aca="false">IF(M21&gt;0,O21-G21,"-")</f>
        <v>4108</v>
      </c>
      <c r="R21" s="42" t="n">
        <f aca="false">IF(M21&gt;0,IFERROR(Q21/O21,"-"),"-")</f>
        <v>0.041987775710869</v>
      </c>
      <c r="S21" s="41" t="n">
        <f aca="false">IF(M21&gt;0,ROUND(MAX(G21*1.08,O21*0.97)/100,0)*100,ROUND(G21*1.12/100,0)*100)</f>
        <v>101200</v>
      </c>
      <c r="T21" s="42" t="n">
        <f aca="false">IFERROR((S21-G21)/S21,"-")</f>
        <v>0.0738142292490119</v>
      </c>
    </row>
    <row r="22" customFormat="false" ht="15" hidden="false" customHeight="false" outlineLevel="0" collapsed="false">
      <c r="A22" s="8" t="s">
        <v>156</v>
      </c>
      <c r="B22" s="8" t="s">
        <v>180</v>
      </c>
      <c r="C22" s="8" t="s">
        <v>181</v>
      </c>
      <c r="D22" s="8" t="s">
        <v>16</v>
      </c>
      <c r="E22" s="8" t="n">
        <v>600</v>
      </c>
      <c r="F22" s="38" t="n">
        <f aca="false">IFERROR(VALUE(SUBSTITUTE(SUBSTITUTE('AOV INDOFLAZ'!E6,"Rp. ",""),".","")),'AOV INDOFLAZ'!E6)</f>
        <v>123032</v>
      </c>
      <c r="G22" s="38" t="n">
        <f aca="false">IFERROR(VALUE(SUBSTITUTE(SUBSTITUTE('AOV INDOFLAZ'!F6,"Rp. ",""),".","")),'AOV INDOFLAZ'!F6)</f>
        <v>121849</v>
      </c>
      <c r="H22" s="38" t="n">
        <f aca="false">IFERROR(VALUE(SUBSTITUTE(SUBSTITUTE('AOV INDOFLAZ'!G6,"Rp. ",""),".","")),'AOV INDOFLAZ'!G6)</f>
        <v>120666</v>
      </c>
      <c r="I22" s="8" t="s">
        <v>2625</v>
      </c>
      <c r="J22" s="39"/>
      <c r="K22" s="39"/>
      <c r="L22" s="39"/>
      <c r="M22" s="8" t="n">
        <f aca="false">COUNT(J22:L22)</f>
        <v>0</v>
      </c>
      <c r="N22" s="40" t="str">
        <f aca="false">IF(M22&gt;0,"Ada","Tidak Ada")</f>
        <v>Tidak Ada</v>
      </c>
      <c r="O22" s="41" t="str">
        <f aca="false">IF(M22&gt;0,MIN(J22:L22),"-")</f>
        <v>-</v>
      </c>
      <c r="P22" s="41" t="str">
        <f aca="false">IF(M22&gt;0,AVERAGE(J22:L22),"-")</f>
        <v>-</v>
      </c>
      <c r="Q22" s="41" t="str">
        <f aca="false">IF(M22&gt;0,O22-G22,"-")</f>
        <v>-</v>
      </c>
      <c r="R22" s="42" t="str">
        <f aca="false">IF(M22&gt;0,IFERROR(Q22/O22,"-"),"-")</f>
        <v>-</v>
      </c>
      <c r="S22" s="41" t="n">
        <f aca="false">IF(M22&gt;0,ROUND(MAX(G22*1.08,O22*0.97)/100,0)*100,ROUND(G22*1.12/100,0)*100)</f>
        <v>136500</v>
      </c>
      <c r="T22" s="42" t="n">
        <f aca="false">IFERROR((S22-G22)/S22,"-")</f>
        <v>0.107333333333333</v>
      </c>
    </row>
    <row r="23" customFormat="false" ht="15" hidden="false" customHeight="false" outlineLevel="0" collapsed="false">
      <c r="A23" s="8" t="s">
        <v>156</v>
      </c>
      <c r="B23" s="8" t="s">
        <v>186</v>
      </c>
      <c r="C23" s="8" t="s">
        <v>187</v>
      </c>
      <c r="D23" s="8" t="s">
        <v>16</v>
      </c>
      <c r="E23" s="8" t="n">
        <v>700</v>
      </c>
      <c r="F23" s="38" t="n">
        <f aca="false">IFERROR(VALUE(SUBSTITUTE(SUBSTITUTE('AOV INDOFLAZ'!E7,"Rp. ",""),".","")),'AOV INDOFLAZ'!E7)</f>
        <v>141960</v>
      </c>
      <c r="G23" s="38" t="n">
        <f aca="false">IFERROR(VALUE(SUBSTITUTE(SUBSTITUTE('AOV INDOFLAZ'!F7,"Rp. ",""),".","")),'AOV INDOFLAZ'!F7)</f>
        <v>140595</v>
      </c>
      <c r="H23" s="38" t="n">
        <f aca="false">IFERROR(VALUE(SUBSTITUTE(SUBSTITUTE('AOV INDOFLAZ'!G7,"Rp. ",""),".","")),'AOV INDOFLAZ'!G7)</f>
        <v>139230</v>
      </c>
      <c r="I23" s="8" t="s">
        <v>2625</v>
      </c>
      <c r="J23" s="39"/>
      <c r="K23" s="39"/>
      <c r="L23" s="39"/>
      <c r="M23" s="8" t="n">
        <f aca="false">COUNT(J23:L23)</f>
        <v>0</v>
      </c>
      <c r="N23" s="40" t="str">
        <f aca="false">IF(M23&gt;0,"Ada","Tidak Ada")</f>
        <v>Tidak Ada</v>
      </c>
      <c r="O23" s="41" t="str">
        <f aca="false">IF(M23&gt;0,MIN(J23:L23),"-")</f>
        <v>-</v>
      </c>
      <c r="P23" s="41" t="str">
        <f aca="false">IF(M23&gt;0,AVERAGE(J23:L23),"-")</f>
        <v>-</v>
      </c>
      <c r="Q23" s="41" t="str">
        <f aca="false">IF(M23&gt;0,O23-G23,"-")</f>
        <v>-</v>
      </c>
      <c r="R23" s="42" t="str">
        <f aca="false">IF(M23&gt;0,IFERROR(Q23/O23,"-"),"-")</f>
        <v>-</v>
      </c>
      <c r="S23" s="41" t="n">
        <f aca="false">IF(M23&gt;0,ROUND(MAX(G23*1.08,O23*0.97)/100,0)*100,ROUND(G23*1.12/100,0)*100)</f>
        <v>157500</v>
      </c>
      <c r="T23" s="42" t="n">
        <f aca="false">IFERROR((S23-G23)/S23,"-")</f>
        <v>0.107333333333333</v>
      </c>
    </row>
    <row r="24" customFormat="false" ht="15" hidden="false" customHeight="false" outlineLevel="0" collapsed="false">
      <c r="A24" s="8" t="s">
        <v>156</v>
      </c>
      <c r="B24" s="8" t="s">
        <v>192</v>
      </c>
      <c r="C24" s="8" t="s">
        <v>193</v>
      </c>
      <c r="D24" s="8" t="s">
        <v>16</v>
      </c>
      <c r="E24" s="8" t="n">
        <v>950</v>
      </c>
      <c r="F24" s="38" t="n">
        <f aca="false">IFERROR(VALUE(SUBSTITUTE(SUBSTITUTE('AOV INDOFLAZ'!E8,"Rp. ",""),".","")),'AOV INDOFLAZ'!E8)</f>
        <v>189280</v>
      </c>
      <c r="G24" s="38" t="n">
        <f aca="false">IFERROR(VALUE(SUBSTITUTE(SUBSTITUTE('AOV INDOFLAZ'!F8,"Rp. ",""),".","")),'AOV INDOFLAZ'!F8)</f>
        <v>187460</v>
      </c>
      <c r="H24" s="38" t="n">
        <f aca="false">IFERROR(VALUE(SUBSTITUTE(SUBSTITUTE('AOV INDOFLAZ'!G8,"Rp. ",""),".","")),'AOV INDOFLAZ'!G8)</f>
        <v>185640</v>
      </c>
      <c r="I24" s="8" t="s">
        <v>2624</v>
      </c>
      <c r="J24" s="38" t="n">
        <f aca="false">'AOV OURA STORE'!A12</f>
        <v>195674</v>
      </c>
      <c r="K24" s="39"/>
      <c r="L24" s="39"/>
      <c r="M24" s="8" t="n">
        <f aca="false">COUNT(J24:L24)</f>
        <v>1</v>
      </c>
      <c r="N24" s="40" t="str">
        <f aca="false">IF(M24&gt;0,"Ada","Tidak Ada")</f>
        <v>Ada</v>
      </c>
      <c r="O24" s="41" t="n">
        <f aca="false">IF(M24&gt;0,MIN(J24:L24),"-")</f>
        <v>195674</v>
      </c>
      <c r="P24" s="41" t="n">
        <f aca="false">IF(M24&gt;0,AVERAGE(J24:L24),"-")</f>
        <v>195674</v>
      </c>
      <c r="Q24" s="41" t="n">
        <f aca="false">IF(M24&gt;0,O24-G24,"-")</f>
        <v>8214</v>
      </c>
      <c r="R24" s="42" t="n">
        <f aca="false">IF(M24&gt;0,IFERROR(Q24/O24,"-"),"-")</f>
        <v>0.0419779837893639</v>
      </c>
      <c r="S24" s="41" t="n">
        <f aca="false">IF(M24&gt;0,ROUND(MAX(G24*1.08,O24*0.97)/100,0)*100,ROUND(G24*1.12/100,0)*100)</f>
        <v>202500</v>
      </c>
      <c r="T24" s="42" t="n">
        <f aca="false">IFERROR((S24-G24)/S24,"-")</f>
        <v>0.0742716049382716</v>
      </c>
    </row>
    <row r="25" customFormat="false" ht="15" hidden="false" customHeight="false" outlineLevel="0" collapsed="false">
      <c r="A25" s="8" t="s">
        <v>156</v>
      </c>
      <c r="B25" s="8" t="s">
        <v>198</v>
      </c>
      <c r="C25" s="8" t="s">
        <v>199</v>
      </c>
      <c r="D25" s="8" t="s">
        <v>16</v>
      </c>
      <c r="E25" s="8" t="n">
        <v>1030</v>
      </c>
      <c r="F25" s="38" t="n">
        <f aca="false">IFERROR(VALUE(SUBSTITUTE(SUBSTITUTE('AOV INDOFLAZ'!E9,"Rp. ",""),".","")),'AOV INDOFLAZ'!E9)</f>
        <v>208208</v>
      </c>
      <c r="G25" s="38" t="n">
        <f aca="false">IFERROR(VALUE(SUBSTITUTE(SUBSTITUTE('AOV INDOFLAZ'!F9,"Rp. ",""),".","")),'AOV INDOFLAZ'!F9)</f>
        <v>206206</v>
      </c>
      <c r="H25" s="38" t="n">
        <f aca="false">IFERROR(VALUE(SUBSTITUTE(SUBSTITUTE('AOV INDOFLAZ'!G9,"Rp. ",""),".","")),'AOV INDOFLAZ'!G9)</f>
        <v>204204</v>
      </c>
      <c r="I25" s="8" t="s">
        <v>2625</v>
      </c>
      <c r="J25" s="39"/>
      <c r="K25" s="39"/>
      <c r="L25" s="39"/>
      <c r="M25" s="8" t="n">
        <f aca="false">COUNT(J25:L25)</f>
        <v>0</v>
      </c>
      <c r="N25" s="40" t="str">
        <f aca="false">IF(M25&gt;0,"Ada","Tidak Ada")</f>
        <v>Tidak Ada</v>
      </c>
      <c r="O25" s="41" t="str">
        <f aca="false">IF(M25&gt;0,MIN(J25:L25),"-")</f>
        <v>-</v>
      </c>
      <c r="P25" s="41" t="str">
        <f aca="false">IF(M25&gt;0,AVERAGE(J25:L25),"-")</f>
        <v>-</v>
      </c>
      <c r="Q25" s="41" t="str">
        <f aca="false">IF(M25&gt;0,O25-G25,"-")</f>
        <v>-</v>
      </c>
      <c r="R25" s="42" t="str">
        <f aca="false">IF(M25&gt;0,IFERROR(Q25/O25,"-"),"-")</f>
        <v>-</v>
      </c>
      <c r="S25" s="41" t="n">
        <f aca="false">IF(M25&gt;0,ROUND(MAX(G25*1.08,O25*0.97)/100,0)*100,ROUND(G25*1.12/100,0)*100)</f>
        <v>231000</v>
      </c>
      <c r="T25" s="42" t="n">
        <f aca="false">IFERROR((S25-G25)/S25,"-")</f>
        <v>0.107333333333333</v>
      </c>
    </row>
    <row r="26" customFormat="false" ht="15" hidden="false" customHeight="false" outlineLevel="0" collapsed="false">
      <c r="A26" s="8" t="s">
        <v>156</v>
      </c>
      <c r="B26" s="8" t="s">
        <v>204</v>
      </c>
      <c r="C26" s="8" t="s">
        <v>205</v>
      </c>
      <c r="D26" s="8" t="s">
        <v>16</v>
      </c>
      <c r="E26" s="8" t="n">
        <v>1420</v>
      </c>
      <c r="F26" s="38" t="n">
        <f aca="false">IFERROR(VALUE(SUBSTITUTE(SUBSTITUTE('AOV INDOFLAZ'!E10,"Rp. ",""),".","")),'AOV INDOFLAZ'!E10)</f>
        <v>283920</v>
      </c>
      <c r="G26" s="38" t="n">
        <f aca="false">IFERROR(VALUE(SUBSTITUTE(SUBSTITUTE('AOV INDOFLAZ'!F10,"Rp. ",""),".","")),'AOV INDOFLAZ'!F10)</f>
        <v>281190</v>
      </c>
      <c r="H26" s="38" t="n">
        <f aca="false">IFERROR(VALUE(SUBSTITUTE(SUBSTITUTE('AOV INDOFLAZ'!G10,"Rp. ",""),".","")),'AOV INDOFLAZ'!G10)</f>
        <v>278460</v>
      </c>
      <c r="I26" s="8" t="s">
        <v>2625</v>
      </c>
      <c r="J26" s="39"/>
      <c r="K26" s="39"/>
      <c r="L26" s="39"/>
      <c r="M26" s="8" t="n">
        <f aca="false">COUNT(J26:L26)</f>
        <v>0</v>
      </c>
      <c r="N26" s="40" t="str">
        <f aca="false">IF(M26&gt;0,"Ada","Tidak Ada")</f>
        <v>Tidak Ada</v>
      </c>
      <c r="O26" s="41" t="str">
        <f aca="false">IF(M26&gt;0,MIN(J26:L26),"-")</f>
        <v>-</v>
      </c>
      <c r="P26" s="41" t="str">
        <f aca="false">IF(M26&gt;0,AVERAGE(J26:L26),"-")</f>
        <v>-</v>
      </c>
      <c r="Q26" s="41" t="str">
        <f aca="false">IF(M26&gt;0,O26-G26,"-")</f>
        <v>-</v>
      </c>
      <c r="R26" s="42" t="str">
        <f aca="false">IF(M26&gt;0,IFERROR(Q26/O26,"-"),"-")</f>
        <v>-</v>
      </c>
      <c r="S26" s="41" t="n">
        <f aca="false">IF(M26&gt;0,ROUND(MAX(G26*1.08,O26*0.97)/100,0)*100,ROUND(G26*1.12/100,0)*100)</f>
        <v>314900</v>
      </c>
      <c r="T26" s="42" t="n">
        <f aca="false">IFERROR((S26-G26)/S26,"-")</f>
        <v>0.107049857097491</v>
      </c>
    </row>
    <row r="27" customFormat="false" ht="15" hidden="false" customHeight="false" outlineLevel="0" collapsed="false">
      <c r="A27" s="8" t="s">
        <v>156</v>
      </c>
      <c r="B27" s="8" t="s">
        <v>210</v>
      </c>
      <c r="C27" s="8" t="s">
        <v>211</v>
      </c>
      <c r="D27" s="8" t="s">
        <v>16</v>
      </c>
      <c r="E27" s="8" t="n">
        <v>1430</v>
      </c>
      <c r="F27" s="38" t="n">
        <f aca="false">IFERROR(VALUE(SUBSTITUTE(SUBSTITUTE('AOV INDOFLAZ'!E11,"Rp. ",""),".","")),'AOV INDOFLAZ'!E11)</f>
        <v>283920</v>
      </c>
      <c r="G27" s="38" t="n">
        <f aca="false">IFERROR(VALUE(SUBSTITUTE(SUBSTITUTE('AOV INDOFLAZ'!F11,"Rp. ",""),".","")),'AOV INDOFLAZ'!F11)</f>
        <v>281190</v>
      </c>
      <c r="H27" s="38" t="n">
        <f aca="false">IFERROR(VALUE(SUBSTITUTE(SUBSTITUTE('AOV INDOFLAZ'!G11,"Rp. ",""),".","")),'AOV INDOFLAZ'!G11)</f>
        <v>278460</v>
      </c>
      <c r="I27" s="8" t="s">
        <v>2624</v>
      </c>
      <c r="J27" s="38" t="n">
        <f aca="false">'AOV OURA STORE'!A14</f>
        <v>293511</v>
      </c>
      <c r="K27" s="39"/>
      <c r="L27" s="39"/>
      <c r="M27" s="8" t="n">
        <f aca="false">COUNT(J27:L27)</f>
        <v>1</v>
      </c>
      <c r="N27" s="40" t="str">
        <f aca="false">IF(M27&gt;0,"Ada","Tidak Ada")</f>
        <v>Ada</v>
      </c>
      <c r="O27" s="41" t="n">
        <f aca="false">IF(M27&gt;0,MIN(J27:L27),"-")</f>
        <v>293511</v>
      </c>
      <c r="P27" s="41" t="n">
        <f aca="false">IF(M27&gt;0,AVERAGE(J27:L27),"-")</f>
        <v>293511</v>
      </c>
      <c r="Q27" s="41" t="n">
        <f aca="false">IF(M27&gt;0,O27-G27,"-")</f>
        <v>12321</v>
      </c>
      <c r="R27" s="42" t="n">
        <f aca="false">IF(M27&gt;0,IFERROR(Q27/O27,"-"),"-")</f>
        <v>0.0419779837893639</v>
      </c>
      <c r="S27" s="41" t="n">
        <f aca="false">IF(M27&gt;0,ROUND(MAX(G27*1.08,O27*0.97)/100,0)*100,ROUND(G27*1.12/100,0)*100)</f>
        <v>303700</v>
      </c>
      <c r="T27" s="42" t="n">
        <f aca="false">IFERROR((S27-G27)/S27,"-")</f>
        <v>0.074119196575568</v>
      </c>
    </row>
    <row r="28" customFormat="false" ht="15" hidden="false" customHeight="false" outlineLevel="0" collapsed="false">
      <c r="A28" s="8" t="s">
        <v>156</v>
      </c>
      <c r="B28" s="8" t="s">
        <v>212</v>
      </c>
      <c r="C28" s="8" t="s">
        <v>213</v>
      </c>
      <c r="D28" s="8" t="s">
        <v>16</v>
      </c>
      <c r="E28" s="8" t="n">
        <v>1440</v>
      </c>
      <c r="F28" s="38" t="n">
        <f aca="false">IFERROR(VALUE(SUBSTITUTE(SUBSTITUTE('AOV INDOFLAZ'!E12,"Rp. ",""),".","")),'AOV INDOFLAZ'!E12)</f>
        <v>293384</v>
      </c>
      <c r="G28" s="38" t="n">
        <f aca="false">IFERROR(VALUE(SUBSTITUTE(SUBSTITUTE('AOV INDOFLAZ'!F12,"Rp. ",""),".","")),'AOV INDOFLAZ'!F12)</f>
        <v>290563</v>
      </c>
      <c r="H28" s="38" t="n">
        <f aca="false">IFERROR(VALUE(SUBSTITUTE(SUBSTITUTE('AOV INDOFLAZ'!G12,"Rp. ",""),".","")),'AOV INDOFLAZ'!G12)</f>
        <v>287742</v>
      </c>
      <c r="I28" s="8" t="s">
        <v>2625</v>
      </c>
      <c r="J28" s="39"/>
      <c r="K28" s="39"/>
      <c r="L28" s="39"/>
      <c r="M28" s="8" t="n">
        <f aca="false">COUNT(J28:L28)</f>
        <v>0</v>
      </c>
      <c r="N28" s="40" t="str">
        <f aca="false">IF(M28&gt;0,"Ada","Tidak Ada")</f>
        <v>Tidak Ada</v>
      </c>
      <c r="O28" s="41" t="str">
        <f aca="false">IF(M28&gt;0,MIN(J28:L28),"-")</f>
        <v>-</v>
      </c>
      <c r="P28" s="41" t="str">
        <f aca="false">IF(M28&gt;0,AVERAGE(J28:L28),"-")</f>
        <v>-</v>
      </c>
      <c r="Q28" s="41" t="str">
        <f aca="false">IF(M28&gt;0,O28-G28,"-")</f>
        <v>-</v>
      </c>
      <c r="R28" s="42" t="str">
        <f aca="false">IF(M28&gt;0,IFERROR(Q28/O28,"-"),"-")</f>
        <v>-</v>
      </c>
      <c r="S28" s="41" t="n">
        <f aca="false">IF(M28&gt;0,ROUND(MAX(G28*1.08,O28*0.97)/100,0)*100,ROUND(G28*1.12/100,0)*100)</f>
        <v>325400</v>
      </c>
      <c r="T28" s="42" t="n">
        <f aca="false">IFERROR((S28-G28)/S28,"-")</f>
        <v>0.107059004302397</v>
      </c>
    </row>
    <row r="29" customFormat="false" ht="15" hidden="false" customHeight="false" outlineLevel="0" collapsed="false">
      <c r="A29" s="8" t="s">
        <v>156</v>
      </c>
      <c r="B29" s="8" t="s">
        <v>218</v>
      </c>
      <c r="C29" s="8" t="s">
        <v>219</v>
      </c>
      <c r="D29" s="8" t="s">
        <v>16</v>
      </c>
      <c r="E29" s="8" t="n">
        <v>2360</v>
      </c>
      <c r="F29" s="38" t="n">
        <f aca="false">IFERROR(VALUE(SUBSTITUTE(SUBSTITUTE('AOV INDOFLAZ'!E13,"Rp. ",""),".","")),'AOV INDOFLAZ'!E13)</f>
        <v>473200</v>
      </c>
      <c r="G29" s="38" t="n">
        <f aca="false">IFERROR(VALUE(SUBSTITUTE(SUBSTITUTE('AOV INDOFLAZ'!F13,"Rp. ",""),".","")),'AOV INDOFLAZ'!F13)</f>
        <v>468650</v>
      </c>
      <c r="H29" s="38" t="n">
        <f aca="false">IFERROR(VALUE(SUBSTITUTE(SUBSTITUTE('AOV INDOFLAZ'!G13,"Rp. ",""),".","")),'AOV INDOFLAZ'!G13)</f>
        <v>464100</v>
      </c>
      <c r="I29" s="8" t="s">
        <v>2625</v>
      </c>
      <c r="J29" s="39"/>
      <c r="K29" s="39"/>
      <c r="L29" s="39"/>
      <c r="M29" s="8" t="n">
        <f aca="false">COUNT(J29:L29)</f>
        <v>0</v>
      </c>
      <c r="N29" s="40" t="str">
        <f aca="false">IF(M29&gt;0,"Ada","Tidak Ada")</f>
        <v>Tidak Ada</v>
      </c>
      <c r="O29" s="41" t="str">
        <f aca="false">IF(M29&gt;0,MIN(J29:L29),"-")</f>
        <v>-</v>
      </c>
      <c r="P29" s="41" t="str">
        <f aca="false">IF(M29&gt;0,AVERAGE(J29:L29),"-")</f>
        <v>-</v>
      </c>
      <c r="Q29" s="41" t="str">
        <f aca="false">IF(M29&gt;0,O29-G29,"-")</f>
        <v>-</v>
      </c>
      <c r="R29" s="42" t="str">
        <f aca="false">IF(M29&gt;0,IFERROR(Q29/O29,"-"),"-")</f>
        <v>-</v>
      </c>
      <c r="S29" s="41" t="n">
        <f aca="false">IF(M29&gt;0,ROUND(MAX(G29*1.08,O29*0.97)/100,0)*100,ROUND(G29*1.12/100,0)*100)</f>
        <v>524900</v>
      </c>
      <c r="T29" s="42" t="n">
        <f aca="false">IFERROR((S29-G29)/S29,"-")</f>
        <v>0.107163269194132</v>
      </c>
    </row>
    <row r="30" customFormat="false" ht="15" hidden="false" customHeight="false" outlineLevel="0" collapsed="false">
      <c r="A30" s="8" t="s">
        <v>156</v>
      </c>
      <c r="B30" s="8" t="s">
        <v>224</v>
      </c>
      <c r="C30" s="8" t="s">
        <v>225</v>
      </c>
      <c r="D30" s="8" t="s">
        <v>16</v>
      </c>
      <c r="E30" s="8" t="n">
        <v>2390</v>
      </c>
      <c r="F30" s="38" t="n">
        <f aca="false">IFERROR(VALUE(SUBSTITUTE(SUBSTITUTE('AOV INDOFLAZ'!E14,"Rp. ",""),".","")),'AOV INDOFLAZ'!E14)</f>
        <v>473200</v>
      </c>
      <c r="G30" s="38" t="n">
        <f aca="false">IFERROR(VALUE(SUBSTITUTE(SUBSTITUTE('AOV INDOFLAZ'!F14,"Rp. ",""),".","")),'AOV INDOFLAZ'!F14)</f>
        <v>468650</v>
      </c>
      <c r="H30" s="38" t="n">
        <f aca="false">IFERROR(VALUE(SUBSTITUTE(SUBSTITUTE('AOV INDOFLAZ'!G14,"Rp. ",""),".","")),'AOV INDOFLAZ'!G14)</f>
        <v>464100</v>
      </c>
      <c r="I30" s="8" t="s">
        <v>2624</v>
      </c>
      <c r="J30" s="38" t="n">
        <f aca="false">'AOV OURA STORE'!A16</f>
        <v>489185</v>
      </c>
      <c r="K30" s="39"/>
      <c r="L30" s="39"/>
      <c r="M30" s="8" t="n">
        <f aca="false">COUNT(J30:L30)</f>
        <v>1</v>
      </c>
      <c r="N30" s="40" t="str">
        <f aca="false">IF(M30&gt;0,"Ada","Tidak Ada")</f>
        <v>Ada</v>
      </c>
      <c r="O30" s="41" t="n">
        <f aca="false">IF(M30&gt;0,MIN(J30:L30),"-")</f>
        <v>489185</v>
      </c>
      <c r="P30" s="41" t="n">
        <f aca="false">IF(M30&gt;0,AVERAGE(J30:L30),"-")</f>
        <v>489185</v>
      </c>
      <c r="Q30" s="41" t="n">
        <f aca="false">IF(M30&gt;0,O30-G30,"-")</f>
        <v>20535</v>
      </c>
      <c r="R30" s="42" t="n">
        <f aca="false">IF(M30&gt;0,IFERROR(Q30/O30,"-"),"-")</f>
        <v>0.0419779837893639</v>
      </c>
      <c r="S30" s="41" t="n">
        <f aca="false">IF(M30&gt;0,ROUND(MAX(G30*1.08,O30*0.97)/100,0)*100,ROUND(G30*1.12/100,0)*100)</f>
        <v>506100</v>
      </c>
      <c r="T30" s="42" t="n">
        <f aca="false">IFERROR((S30-G30)/S30,"-")</f>
        <v>0.0739972337482711</v>
      </c>
    </row>
    <row r="31" customFormat="false" ht="15" hidden="false" customHeight="false" outlineLevel="0" collapsed="false">
      <c r="A31" s="8" t="s">
        <v>156</v>
      </c>
      <c r="B31" s="8" t="s">
        <v>226</v>
      </c>
      <c r="C31" s="8" t="s">
        <v>227</v>
      </c>
      <c r="D31" s="8" t="s">
        <v>16</v>
      </c>
      <c r="E31" s="8" t="n">
        <v>2400</v>
      </c>
      <c r="F31" s="38" t="n">
        <f aca="false">IFERROR(VALUE(SUBSTITUTE(SUBSTITUTE('AOV INDOFLAZ'!E15,"Rp. ",""),".","")),'AOV INDOFLAZ'!E15)</f>
        <v>482664</v>
      </c>
      <c r="G31" s="38" t="n">
        <f aca="false">IFERROR(VALUE(SUBSTITUTE(SUBSTITUTE('AOV INDOFLAZ'!F15,"Rp. ",""),".","")),'AOV INDOFLAZ'!F15)</f>
        <v>478023</v>
      </c>
      <c r="H31" s="38" t="n">
        <f aca="false">IFERROR(VALUE(SUBSTITUTE(SUBSTITUTE('AOV INDOFLAZ'!G15,"Rp. ",""),".","")),'AOV INDOFLAZ'!G15)</f>
        <v>473382</v>
      </c>
      <c r="I31" s="8" t="s">
        <v>2625</v>
      </c>
      <c r="J31" s="39"/>
      <c r="K31" s="39"/>
      <c r="L31" s="39"/>
      <c r="M31" s="8" t="n">
        <f aca="false">COUNT(J31:L31)</f>
        <v>0</v>
      </c>
      <c r="N31" s="40" t="str">
        <f aca="false">IF(M31&gt;0,"Ada","Tidak Ada")</f>
        <v>Tidak Ada</v>
      </c>
      <c r="O31" s="41" t="str">
        <f aca="false">IF(M31&gt;0,MIN(J31:L31),"-")</f>
        <v>-</v>
      </c>
      <c r="P31" s="41" t="str">
        <f aca="false">IF(M31&gt;0,AVERAGE(J31:L31),"-")</f>
        <v>-</v>
      </c>
      <c r="Q31" s="41" t="str">
        <f aca="false">IF(M31&gt;0,O31-G31,"-")</f>
        <v>-</v>
      </c>
      <c r="R31" s="42" t="str">
        <f aca="false">IF(M31&gt;0,IFERROR(Q31/O31,"-"),"-")</f>
        <v>-</v>
      </c>
      <c r="S31" s="41" t="n">
        <f aca="false">IF(M31&gt;0,ROUND(MAX(G31*1.08,O31*0.97)/100,0)*100,ROUND(G31*1.12/100,0)*100)</f>
        <v>535400</v>
      </c>
      <c r="T31" s="42" t="n">
        <f aca="false">IFERROR((S31-G31)/S31,"-")</f>
        <v>0.107166604407919</v>
      </c>
    </row>
    <row r="32" customFormat="false" ht="15" hidden="false" customHeight="false" outlineLevel="0" collapsed="false">
      <c r="A32" s="8" t="s">
        <v>156</v>
      </c>
      <c r="B32" s="8" t="s">
        <v>232</v>
      </c>
      <c r="C32" s="8" t="s">
        <v>233</v>
      </c>
      <c r="D32" s="8" t="s">
        <v>16</v>
      </c>
      <c r="E32" s="8" t="n">
        <v>3300</v>
      </c>
      <c r="F32" s="38" t="n">
        <f aca="false">IFERROR(VALUE(SUBSTITUTE(SUBSTITUTE('AOV INDOFLAZ'!E16,"Rp. ",""),".","")),'AOV INDOFLAZ'!E16)</f>
        <v>662480</v>
      </c>
      <c r="G32" s="38" t="n">
        <f aca="false">IFERROR(VALUE(SUBSTITUTE(SUBSTITUTE('AOV INDOFLAZ'!F16,"Rp. ",""),".","")),'AOV INDOFLAZ'!F16)</f>
        <v>656110</v>
      </c>
      <c r="H32" s="38" t="n">
        <f aca="false">IFERROR(VALUE(SUBSTITUTE(SUBSTITUTE('AOV INDOFLAZ'!G16,"Rp. ",""),".","")),'AOV INDOFLAZ'!G16)</f>
        <v>649740</v>
      </c>
      <c r="I32" s="8" t="s">
        <v>2625</v>
      </c>
      <c r="J32" s="39"/>
      <c r="K32" s="39"/>
      <c r="L32" s="39"/>
      <c r="M32" s="8" t="n">
        <f aca="false">COUNT(J32:L32)</f>
        <v>0</v>
      </c>
      <c r="N32" s="40" t="str">
        <f aca="false">IF(M32&gt;0,"Ada","Tidak Ada")</f>
        <v>Tidak Ada</v>
      </c>
      <c r="O32" s="41" t="str">
        <f aca="false">IF(M32&gt;0,MIN(J32:L32),"-")</f>
        <v>-</v>
      </c>
      <c r="P32" s="41" t="str">
        <f aca="false">IF(M32&gt;0,AVERAGE(J32:L32),"-")</f>
        <v>-</v>
      </c>
      <c r="Q32" s="41" t="str">
        <f aca="false">IF(M32&gt;0,O32-G32,"-")</f>
        <v>-</v>
      </c>
      <c r="R32" s="42" t="str">
        <f aca="false">IF(M32&gt;0,IFERROR(Q32/O32,"-"),"-")</f>
        <v>-</v>
      </c>
      <c r="S32" s="41" t="n">
        <f aca="false">IF(M32&gt;0,ROUND(MAX(G32*1.08,O32*0.97)/100,0)*100,ROUND(G32*1.12/100,0)*100)</f>
        <v>734800</v>
      </c>
      <c r="T32" s="42" t="n">
        <f aca="false">IFERROR((S32-G32)/S32,"-")</f>
        <v>0.107090364725095</v>
      </c>
    </row>
    <row r="33" customFormat="false" ht="15" hidden="false" customHeight="false" outlineLevel="0" collapsed="false">
      <c r="A33" s="8" t="s">
        <v>156</v>
      </c>
      <c r="B33" s="8" t="s">
        <v>238</v>
      </c>
      <c r="C33" s="8" t="s">
        <v>239</v>
      </c>
      <c r="D33" s="8" t="s">
        <v>16</v>
      </c>
      <c r="E33" s="8" t="n">
        <v>4810</v>
      </c>
      <c r="F33" s="38" t="n">
        <f aca="false">IFERROR(VALUE(SUBSTITUTE(SUBSTITUTE('AOV INDOFLAZ'!E17,"Rp. ",""),".","")),'AOV INDOFLAZ'!E17)</f>
        <v>965328</v>
      </c>
      <c r="G33" s="38" t="n">
        <f aca="false">IFERROR(VALUE(SUBSTITUTE(SUBSTITUTE('AOV INDOFLAZ'!F17,"Rp. ",""),".","")),'AOV INDOFLAZ'!F17)</f>
        <v>956046</v>
      </c>
      <c r="H33" s="38" t="n">
        <f aca="false">IFERROR(VALUE(SUBSTITUTE(SUBSTITUTE('AOV INDOFLAZ'!G17,"Rp. ",""),".","")),'AOV INDOFLAZ'!G17)</f>
        <v>946764</v>
      </c>
      <c r="I33" s="8" t="s">
        <v>2625</v>
      </c>
      <c r="J33" s="39"/>
      <c r="K33" s="39"/>
      <c r="L33" s="39"/>
      <c r="M33" s="8" t="n">
        <f aca="false">COUNT(J33:L33)</f>
        <v>0</v>
      </c>
      <c r="N33" s="40" t="str">
        <f aca="false">IF(M33&gt;0,"Ada","Tidak Ada")</f>
        <v>Tidak Ada</v>
      </c>
      <c r="O33" s="41" t="str">
        <f aca="false">IF(M33&gt;0,MIN(J33:L33),"-")</f>
        <v>-</v>
      </c>
      <c r="P33" s="41" t="str">
        <f aca="false">IF(M33&gt;0,AVERAGE(J33:L33),"-")</f>
        <v>-</v>
      </c>
      <c r="Q33" s="41" t="str">
        <f aca="false">IF(M33&gt;0,O33-G33,"-")</f>
        <v>-</v>
      </c>
      <c r="R33" s="42" t="str">
        <f aca="false">IF(M33&gt;0,IFERROR(Q33/O33,"-"),"-")</f>
        <v>-</v>
      </c>
      <c r="S33" s="41" t="n">
        <f aca="false">IF(M33&gt;0,ROUND(MAX(G33*1.08,O33*0.97)/100,0)*100,ROUND(G33*1.12/100,0)*100)</f>
        <v>1070800</v>
      </c>
      <c r="T33" s="42" t="n">
        <f aca="false">IFERROR((S33-G33)/S33,"-")</f>
        <v>0.107166604407919</v>
      </c>
    </row>
    <row r="34" customFormat="false" ht="15" hidden="false" customHeight="false" outlineLevel="0" collapsed="false">
      <c r="A34" s="8" t="s">
        <v>156</v>
      </c>
      <c r="B34" s="8" t="s">
        <v>244</v>
      </c>
      <c r="C34" s="8" t="s">
        <v>245</v>
      </c>
      <c r="D34" s="8" t="s">
        <v>16</v>
      </c>
      <c r="E34" s="8" t="n">
        <v>7050</v>
      </c>
      <c r="F34" s="38" t="n">
        <f aca="false">IFERROR(VALUE(SUBSTITUTE(SUBSTITUTE('AOV INDOFLAZ'!E18,"Rp. ",""),".","")),'AOV INDOFLAZ'!E18)</f>
        <v>1410136</v>
      </c>
      <c r="G34" s="38" t="n">
        <f aca="false">IFERROR(VALUE(SUBSTITUTE(SUBSTITUTE('AOV INDOFLAZ'!F18,"Rp. ",""),".","")),'AOV INDOFLAZ'!F18)</f>
        <v>1396577</v>
      </c>
      <c r="H34" s="38" t="n">
        <f aca="false">IFERROR(VALUE(SUBSTITUTE(SUBSTITUTE('AOV INDOFLAZ'!G18,"Rp. ",""),".","")),'AOV INDOFLAZ'!G18)</f>
        <v>1383018</v>
      </c>
      <c r="I34" s="8" t="s">
        <v>2625</v>
      </c>
      <c r="J34" s="39"/>
      <c r="K34" s="39"/>
      <c r="L34" s="39"/>
      <c r="M34" s="8" t="n">
        <f aca="false">COUNT(J34:L34)</f>
        <v>0</v>
      </c>
      <c r="N34" s="40" t="str">
        <f aca="false">IF(M34&gt;0,"Ada","Tidak Ada")</f>
        <v>Tidak Ada</v>
      </c>
      <c r="O34" s="41" t="str">
        <f aca="false">IF(M34&gt;0,MIN(J34:L34),"-")</f>
        <v>-</v>
      </c>
      <c r="P34" s="41" t="str">
        <f aca="false">IF(M34&gt;0,AVERAGE(J34:L34),"-")</f>
        <v>-</v>
      </c>
      <c r="Q34" s="41" t="str">
        <f aca="false">IF(M34&gt;0,O34-G34,"-")</f>
        <v>-</v>
      </c>
      <c r="R34" s="42" t="str">
        <f aca="false">IF(M34&gt;0,IFERROR(Q34/O34,"-"),"-")</f>
        <v>-</v>
      </c>
      <c r="S34" s="41" t="n">
        <f aca="false">IF(M34&gt;0,ROUND(MAX(G34*1.08,O34*0.97)/100,0)*100,ROUND(G34*1.12/100,0)*100)</f>
        <v>1564200</v>
      </c>
      <c r="T34" s="42" t="n">
        <f aca="false">IFERROR((S34-G34)/S34,"-")</f>
        <v>0.107162127605166</v>
      </c>
    </row>
    <row r="35" customFormat="false" ht="15" hidden="false" customHeight="false" outlineLevel="0" collapsed="false">
      <c r="A35" s="8" t="s">
        <v>156</v>
      </c>
      <c r="B35" s="8" t="s">
        <v>250</v>
      </c>
      <c r="C35" s="8" t="s">
        <v>251</v>
      </c>
      <c r="D35" s="8" t="s">
        <v>16</v>
      </c>
      <c r="E35" s="8" t="n">
        <v>9420</v>
      </c>
      <c r="F35" s="38" t="n">
        <f aca="false">IFERROR(VALUE(SUBSTITUTE(SUBSTITUTE('AOV INDOFLAZ'!E19,"Rp. ",""),".","")),'AOV INDOFLAZ'!E19)</f>
        <v>1883336</v>
      </c>
      <c r="G35" s="38" t="n">
        <f aca="false">IFERROR(VALUE(SUBSTITUTE(SUBSTITUTE('AOV INDOFLAZ'!F19,"Rp. ",""),".","")),'AOV INDOFLAZ'!F19)</f>
        <v>1865227</v>
      </c>
      <c r="H35" s="38" t="n">
        <f aca="false">IFERROR(VALUE(SUBSTITUTE(SUBSTITUTE('AOV INDOFLAZ'!G19,"Rp. ",""),".","")),'AOV INDOFLAZ'!G19)</f>
        <v>1847118</v>
      </c>
      <c r="I35" s="8" t="s">
        <v>2625</v>
      </c>
      <c r="J35" s="39"/>
      <c r="K35" s="39"/>
      <c r="L35" s="39"/>
      <c r="M35" s="8" t="n">
        <f aca="false">COUNT(J35:L35)</f>
        <v>0</v>
      </c>
      <c r="N35" s="40" t="str">
        <f aca="false">IF(M35&gt;0,"Ada","Tidak Ada")</f>
        <v>Tidak Ada</v>
      </c>
      <c r="O35" s="41" t="str">
        <f aca="false">IF(M35&gt;0,MIN(J35:L35),"-")</f>
        <v>-</v>
      </c>
      <c r="P35" s="41" t="str">
        <f aca="false">IF(M35&gt;0,AVERAGE(J35:L35),"-")</f>
        <v>-</v>
      </c>
      <c r="Q35" s="41" t="str">
        <f aca="false">IF(M35&gt;0,O35-G35,"-")</f>
        <v>-</v>
      </c>
      <c r="R35" s="42" t="str">
        <f aca="false">IF(M35&gt;0,IFERROR(Q35/O35,"-"),"-")</f>
        <v>-</v>
      </c>
      <c r="S35" s="41" t="n">
        <f aca="false">IF(M35&gt;0,ROUND(MAX(G35*1.08,O35*0.97)/100,0)*100,ROUND(G35*1.12/100,0)*100)</f>
        <v>2089100</v>
      </c>
      <c r="T35" s="42" t="n">
        <f aca="false">IFERROR((S35-G35)/S35,"-")</f>
        <v>0.107162414436839</v>
      </c>
    </row>
    <row r="36" customFormat="false" ht="15" hidden="false" customHeight="false" outlineLevel="0" collapsed="false">
      <c r="A36" s="8" t="s">
        <v>260</v>
      </c>
      <c r="B36" s="8" t="s">
        <v>259</v>
      </c>
      <c r="C36" s="8" t="s">
        <v>261</v>
      </c>
      <c r="D36" s="8" t="s">
        <v>17</v>
      </c>
      <c r="E36" s="8" t="n">
        <v>1980</v>
      </c>
      <c r="F36" s="38" t="n">
        <f aca="false">IFERROR(VALUE(SUBSTITUTE(SUBSTITUTE('Harry Potter Magic Awakened IND'!E2,"Rp. ",""),".","")),'Harry Potter Magic Awakened IND'!E2)</f>
        <v>365142</v>
      </c>
      <c r="G36" s="38" t="n">
        <f aca="false">IFERROR(VALUE(SUBSTITUTE(SUBSTITUTE('Harry Potter Magic Awakened IND'!F2,"Rp. ",""),".","")),'Harry Potter Magic Awakened IND'!F2)</f>
        <v>361562</v>
      </c>
      <c r="H36" s="38" t="n">
        <f aca="false">IFERROR(VALUE(SUBSTITUTE(SUBSTITUTE('Harry Potter Magic Awakened IND'!G2,"Rp. ",""),".","")),'Harry Potter Magic Awakened IND'!G2)</f>
        <v>359772</v>
      </c>
      <c r="I36" s="8" t="s">
        <v>2625</v>
      </c>
      <c r="J36" s="39"/>
      <c r="K36" s="39"/>
      <c r="L36" s="39"/>
      <c r="M36" s="8" t="n">
        <f aca="false">COUNT(J36:L36)</f>
        <v>0</v>
      </c>
      <c r="N36" s="40" t="str">
        <f aca="false">IF(M36&gt;0,"Ada","Tidak Ada")</f>
        <v>Tidak Ada</v>
      </c>
      <c r="O36" s="41" t="str">
        <f aca="false">IF(M36&gt;0,MIN(J36:L36),"-")</f>
        <v>-</v>
      </c>
      <c r="P36" s="41" t="str">
        <f aca="false">IF(M36&gt;0,AVERAGE(J36:L36),"-")</f>
        <v>-</v>
      </c>
      <c r="Q36" s="41" t="str">
        <f aca="false">IF(M36&gt;0,O36-G36,"-")</f>
        <v>-</v>
      </c>
      <c r="R36" s="42" t="str">
        <f aca="false">IF(M36&gt;0,IFERROR(Q36/O36,"-"),"-")</f>
        <v>-</v>
      </c>
      <c r="S36" s="41" t="n">
        <f aca="false">IF(M36&gt;0,ROUND(MAX(G36*1.08,O36*0.97)/100,0)*100,ROUND(G36*1.12/100,0)*100)</f>
        <v>404900</v>
      </c>
      <c r="T36" s="42" t="n">
        <f aca="false">IFERROR((S36-G36)/S36,"-")</f>
        <v>0.107033835514942</v>
      </c>
    </row>
    <row r="37" customFormat="false" ht="15" hidden="false" customHeight="false" outlineLevel="0" collapsed="false">
      <c r="A37" s="8" t="s">
        <v>281</v>
      </c>
      <c r="B37" s="8" t="s">
        <v>280</v>
      </c>
      <c r="C37" s="8" t="s">
        <v>282</v>
      </c>
      <c r="D37" s="8" t="s">
        <v>18</v>
      </c>
      <c r="E37" s="8" t="n">
        <v>6</v>
      </c>
      <c r="F37" s="38" t="n">
        <f aca="false">IFERROR(VALUE(SUBSTITUTE(SUBSTITUTE('HAGO INDOFLAZ'!E2,"Rp. ",""),".","")),'HAGO INDOFLAZ'!E2)</f>
        <v>2028</v>
      </c>
      <c r="G37" s="38" t="n">
        <f aca="false">IFERROR(VALUE(SUBSTITUTE(SUBSTITUTE('HAGO INDOFLAZ'!F2,"Rp. ",""),".","")),'HAGO INDOFLAZ'!F2)</f>
        <v>1989</v>
      </c>
      <c r="H37" s="38" t="n">
        <f aca="false">IFERROR(VALUE(SUBSTITUTE(SUBSTITUTE('HAGO INDOFLAZ'!G2,"Rp. ",""),".","")),'HAGO INDOFLAZ'!G2)</f>
        <v>1960</v>
      </c>
      <c r="I37" s="8" t="s">
        <v>2625</v>
      </c>
      <c r="J37" s="39"/>
      <c r="K37" s="39"/>
      <c r="L37" s="39"/>
      <c r="M37" s="8" t="n">
        <f aca="false">COUNT(J37:L37)</f>
        <v>0</v>
      </c>
      <c r="N37" s="40" t="str">
        <f aca="false">IF(M37&gt;0,"Ada","Tidak Ada")</f>
        <v>Tidak Ada</v>
      </c>
      <c r="O37" s="41" t="str">
        <f aca="false">IF(M37&gt;0,MIN(J37:L37),"-")</f>
        <v>-</v>
      </c>
      <c r="P37" s="41" t="str">
        <f aca="false">IF(M37&gt;0,AVERAGE(J37:L37),"-")</f>
        <v>-</v>
      </c>
      <c r="Q37" s="41" t="str">
        <f aca="false">IF(M37&gt;0,O37-G37,"-")</f>
        <v>-</v>
      </c>
      <c r="R37" s="42" t="str">
        <f aca="false">IF(M37&gt;0,IFERROR(Q37/O37,"-"),"-")</f>
        <v>-</v>
      </c>
      <c r="S37" s="41" t="n">
        <f aca="false">IF(M37&gt;0,ROUND(MAX(G37*1.08,O37*0.97)/100,0)*100,ROUND(G37*1.12/100,0)*100)</f>
        <v>2200</v>
      </c>
      <c r="T37" s="42" t="n">
        <f aca="false">IFERROR((S37-G37)/S37,"-")</f>
        <v>0.0959090909090909</v>
      </c>
    </row>
    <row r="38" customFormat="false" ht="15" hidden="false" customHeight="false" outlineLevel="0" collapsed="false">
      <c r="A38" s="8" t="s">
        <v>281</v>
      </c>
      <c r="B38" s="8" t="s">
        <v>287</v>
      </c>
      <c r="C38" s="8" t="s">
        <v>288</v>
      </c>
      <c r="D38" s="8" t="s">
        <v>18</v>
      </c>
      <c r="E38" s="8" t="n">
        <v>46</v>
      </c>
      <c r="F38" s="38" t="n">
        <f aca="false">IFERROR(VALUE(SUBSTITUTE(SUBSTITUTE('HAGO INDOFLAZ'!E3,"Rp. ",""),".","")),'HAGO INDOFLAZ'!E3)</f>
        <v>15443</v>
      </c>
      <c r="G38" s="38" t="n">
        <f aca="false">IFERROR(VALUE(SUBSTITUTE(SUBSTITUTE('HAGO INDOFLAZ'!F3,"Rp. ",""),".","")),'HAGO INDOFLAZ'!F3)</f>
        <v>15146</v>
      </c>
      <c r="H38" s="38" t="n">
        <f aca="false">IFERROR(VALUE(SUBSTITUTE(SUBSTITUTE('HAGO INDOFLAZ'!G3,"Rp. ",""),".","")),'HAGO INDOFLAZ'!G3)</f>
        <v>14924</v>
      </c>
      <c r="I38" s="8" t="s">
        <v>2625</v>
      </c>
      <c r="J38" s="39"/>
      <c r="K38" s="39"/>
      <c r="L38" s="39"/>
      <c r="M38" s="8" t="n">
        <f aca="false">COUNT(J38:L38)</f>
        <v>0</v>
      </c>
      <c r="N38" s="40" t="str">
        <f aca="false">IF(M38&gt;0,"Ada","Tidak Ada")</f>
        <v>Tidak Ada</v>
      </c>
      <c r="O38" s="41" t="str">
        <f aca="false">IF(M38&gt;0,MIN(J38:L38),"-")</f>
        <v>-</v>
      </c>
      <c r="P38" s="41" t="str">
        <f aca="false">IF(M38&gt;0,AVERAGE(J38:L38),"-")</f>
        <v>-</v>
      </c>
      <c r="Q38" s="41" t="str">
        <f aca="false">IF(M38&gt;0,O38-G38,"-")</f>
        <v>-</v>
      </c>
      <c r="R38" s="42" t="str">
        <f aca="false">IF(M38&gt;0,IFERROR(Q38/O38,"-"),"-")</f>
        <v>-</v>
      </c>
      <c r="S38" s="41" t="n">
        <f aca="false">IF(M38&gt;0,ROUND(MAX(G38*1.08,O38*0.97)/100,0)*100,ROUND(G38*1.12/100,0)*100)</f>
        <v>17000</v>
      </c>
      <c r="T38" s="42" t="n">
        <f aca="false">IFERROR((S38-G38)/S38,"-")</f>
        <v>0.109058823529412</v>
      </c>
    </row>
    <row r="39" customFormat="false" ht="15" hidden="false" customHeight="false" outlineLevel="0" collapsed="false">
      <c r="A39" s="8" t="s">
        <v>281</v>
      </c>
      <c r="B39" s="8" t="s">
        <v>293</v>
      </c>
      <c r="C39" s="8" t="s">
        <v>294</v>
      </c>
      <c r="D39" s="8" t="s">
        <v>18</v>
      </c>
      <c r="E39" s="8" t="n">
        <v>91</v>
      </c>
      <c r="F39" s="38" t="n">
        <f aca="false">IFERROR(VALUE(SUBSTITUTE(SUBSTITUTE('HAGO INDOFLAZ'!E4,"Rp. ",""),".","")),'HAGO INDOFLAZ'!E4)</f>
        <v>30885</v>
      </c>
      <c r="G39" s="38" t="n">
        <f aca="false">IFERROR(VALUE(SUBSTITUTE(SUBSTITUTE('HAGO INDOFLAZ'!F4,"Rp. ",""),".","")),'HAGO INDOFLAZ'!F4)</f>
        <v>30291</v>
      </c>
      <c r="H39" s="38" t="n">
        <f aca="false">IFERROR(VALUE(SUBSTITUTE(SUBSTITUTE('HAGO INDOFLAZ'!G4,"Rp. ",""),".","")),'HAGO INDOFLAZ'!G4)</f>
        <v>29846</v>
      </c>
      <c r="I39" s="8" t="s">
        <v>2625</v>
      </c>
      <c r="J39" s="39"/>
      <c r="K39" s="39"/>
      <c r="L39" s="39"/>
      <c r="M39" s="8" t="n">
        <f aca="false">COUNT(J39:L39)</f>
        <v>0</v>
      </c>
      <c r="N39" s="40" t="str">
        <f aca="false">IF(M39&gt;0,"Ada","Tidak Ada")</f>
        <v>Tidak Ada</v>
      </c>
      <c r="O39" s="41" t="str">
        <f aca="false">IF(M39&gt;0,MIN(J39:L39),"-")</f>
        <v>-</v>
      </c>
      <c r="P39" s="41" t="str">
        <f aca="false">IF(M39&gt;0,AVERAGE(J39:L39),"-")</f>
        <v>-</v>
      </c>
      <c r="Q39" s="41" t="str">
        <f aca="false">IF(M39&gt;0,O39-G39,"-")</f>
        <v>-</v>
      </c>
      <c r="R39" s="42" t="str">
        <f aca="false">IF(M39&gt;0,IFERROR(Q39/O39,"-"),"-")</f>
        <v>-</v>
      </c>
      <c r="S39" s="41" t="n">
        <f aca="false">IF(M39&gt;0,ROUND(MAX(G39*1.08,O39*0.97)/100,0)*100,ROUND(G39*1.12/100,0)*100)</f>
        <v>33900</v>
      </c>
      <c r="T39" s="42" t="n">
        <f aca="false">IFERROR((S39-G39)/S39,"-")</f>
        <v>0.10646017699115</v>
      </c>
    </row>
    <row r="40" customFormat="false" ht="15" hidden="false" customHeight="false" outlineLevel="0" collapsed="false">
      <c r="A40" s="8" t="s">
        <v>281</v>
      </c>
      <c r="B40" s="8" t="s">
        <v>299</v>
      </c>
      <c r="C40" s="8" t="s">
        <v>300</v>
      </c>
      <c r="D40" s="8" t="s">
        <v>18</v>
      </c>
      <c r="E40" s="8" t="n">
        <v>228</v>
      </c>
      <c r="F40" s="38" t="n">
        <f aca="false">IFERROR(VALUE(SUBSTITUTE(SUBSTITUTE('HAGO INDOFLAZ'!E5,"Rp. ",""),".","")),'HAGO INDOFLAZ'!E5)</f>
        <v>77213</v>
      </c>
      <c r="G40" s="38" t="n">
        <f aca="false">IFERROR(VALUE(SUBSTITUTE(SUBSTITUTE('HAGO INDOFLAZ'!F5,"Rp. ",""),".","")),'HAGO INDOFLAZ'!F5)</f>
        <v>75728</v>
      </c>
      <c r="H40" s="38" t="n">
        <f aca="false">IFERROR(VALUE(SUBSTITUTE(SUBSTITUTE('HAGO INDOFLAZ'!G5,"Rp. ",""),".","")),'HAGO INDOFLAZ'!G5)</f>
        <v>74615</v>
      </c>
      <c r="I40" s="8" t="s">
        <v>2625</v>
      </c>
      <c r="J40" s="39"/>
      <c r="K40" s="39"/>
      <c r="L40" s="39"/>
      <c r="M40" s="8" t="n">
        <f aca="false">COUNT(J40:L40)</f>
        <v>0</v>
      </c>
      <c r="N40" s="40" t="str">
        <f aca="false">IF(M40&gt;0,"Ada","Tidak Ada")</f>
        <v>Tidak Ada</v>
      </c>
      <c r="O40" s="41" t="str">
        <f aca="false">IF(M40&gt;0,MIN(J40:L40),"-")</f>
        <v>-</v>
      </c>
      <c r="P40" s="41" t="str">
        <f aca="false">IF(M40&gt;0,AVERAGE(J40:L40),"-")</f>
        <v>-</v>
      </c>
      <c r="Q40" s="41" t="str">
        <f aca="false">IF(M40&gt;0,O40-G40,"-")</f>
        <v>-</v>
      </c>
      <c r="R40" s="42" t="str">
        <f aca="false">IF(M40&gt;0,IFERROR(Q40/O40,"-"),"-")</f>
        <v>-</v>
      </c>
      <c r="S40" s="41" t="n">
        <f aca="false">IF(M40&gt;0,ROUND(MAX(G40*1.08,O40*0.97)/100,0)*100,ROUND(G40*1.12/100,0)*100)</f>
        <v>84800</v>
      </c>
      <c r="T40" s="42" t="n">
        <f aca="false">IFERROR((S40-G40)/S40,"-")</f>
        <v>0.106981132075472</v>
      </c>
    </row>
    <row r="41" customFormat="false" ht="15" hidden="false" customHeight="false" outlineLevel="0" collapsed="false">
      <c r="A41" s="8" t="s">
        <v>281</v>
      </c>
      <c r="B41" s="8" t="s">
        <v>305</v>
      </c>
      <c r="C41" s="8" t="s">
        <v>306</v>
      </c>
      <c r="D41" s="8" t="s">
        <v>18</v>
      </c>
      <c r="E41" s="8" t="n">
        <v>381</v>
      </c>
      <c r="F41" s="38" t="n">
        <f aca="false">IFERROR(VALUE(SUBSTITUTE(SUBSTITUTE('HAGO INDOFLAZ'!E6,"Rp. ",""),".","")),'HAGO INDOFLAZ'!E6)</f>
        <v>128688</v>
      </c>
      <c r="G41" s="38" t="n">
        <f aca="false">IFERROR(VALUE(SUBSTITUTE(SUBSTITUTE('HAGO INDOFLAZ'!F6,"Rp. ",""),".","")),'HAGO INDOFLAZ'!F6)</f>
        <v>126213</v>
      </c>
      <c r="H41" s="38" t="n">
        <f aca="false">IFERROR(VALUE(SUBSTITUTE(SUBSTITUTE('HAGO INDOFLAZ'!G6,"Rp. ",""),".","")),'HAGO INDOFLAZ'!G6)</f>
        <v>124357</v>
      </c>
      <c r="I41" s="8" t="s">
        <v>2625</v>
      </c>
      <c r="J41" s="39"/>
      <c r="K41" s="39"/>
      <c r="L41" s="39"/>
      <c r="M41" s="8" t="n">
        <f aca="false">COUNT(J41:L41)</f>
        <v>0</v>
      </c>
      <c r="N41" s="40" t="str">
        <f aca="false">IF(M41&gt;0,"Ada","Tidak Ada")</f>
        <v>Tidak Ada</v>
      </c>
      <c r="O41" s="41" t="str">
        <f aca="false">IF(M41&gt;0,MIN(J41:L41),"-")</f>
        <v>-</v>
      </c>
      <c r="P41" s="41" t="str">
        <f aca="false">IF(M41&gt;0,AVERAGE(J41:L41),"-")</f>
        <v>-</v>
      </c>
      <c r="Q41" s="41" t="str">
        <f aca="false">IF(M41&gt;0,O41-G41,"-")</f>
        <v>-</v>
      </c>
      <c r="R41" s="42" t="str">
        <f aca="false">IF(M41&gt;0,IFERROR(Q41/O41,"-"),"-")</f>
        <v>-</v>
      </c>
      <c r="S41" s="41" t="n">
        <f aca="false">IF(M41&gt;0,ROUND(MAX(G41*1.08,O41*0.97)/100,0)*100,ROUND(G41*1.12/100,0)*100)</f>
        <v>141400</v>
      </c>
      <c r="T41" s="42" t="n">
        <f aca="false">IFERROR((S41-G41)/S41,"-")</f>
        <v>0.107404526166902</v>
      </c>
    </row>
    <row r="42" customFormat="false" ht="15" hidden="false" customHeight="false" outlineLevel="0" collapsed="false">
      <c r="A42" s="8" t="s">
        <v>281</v>
      </c>
      <c r="B42" s="8" t="s">
        <v>311</v>
      </c>
      <c r="C42" s="8" t="s">
        <v>312</v>
      </c>
      <c r="D42" s="8" t="s">
        <v>18</v>
      </c>
      <c r="E42" s="8" t="n">
        <v>915</v>
      </c>
      <c r="F42" s="38" t="n">
        <f aca="false">IFERROR(VALUE(SUBSTITUTE(SUBSTITUTE('HAGO INDOFLAZ'!E7,"Rp. ",""),".","")),'HAGO INDOFLAZ'!E7)</f>
        <v>308849</v>
      </c>
      <c r="G42" s="38" t="n">
        <f aca="false">IFERROR(VALUE(SUBSTITUTE(SUBSTITUTE('HAGO INDOFLAZ'!F7,"Rp. ",""),".","")),'HAGO INDOFLAZ'!F7)</f>
        <v>302910</v>
      </c>
      <c r="H42" s="38" t="n">
        <f aca="false">IFERROR(VALUE(SUBSTITUTE(SUBSTITUTE('HAGO INDOFLAZ'!G7,"Rp. ",""),".","")),'HAGO INDOFLAZ'!G7)</f>
        <v>298455</v>
      </c>
      <c r="I42" s="8" t="s">
        <v>2625</v>
      </c>
      <c r="J42" s="39"/>
      <c r="K42" s="39"/>
      <c r="L42" s="39"/>
      <c r="M42" s="8" t="n">
        <f aca="false">COUNT(J42:L42)</f>
        <v>0</v>
      </c>
      <c r="N42" s="40" t="str">
        <f aca="false">IF(M42&gt;0,"Ada","Tidak Ada")</f>
        <v>Tidak Ada</v>
      </c>
      <c r="O42" s="41" t="str">
        <f aca="false">IF(M42&gt;0,MIN(J42:L42),"-")</f>
        <v>-</v>
      </c>
      <c r="P42" s="41" t="str">
        <f aca="false">IF(M42&gt;0,AVERAGE(J42:L42),"-")</f>
        <v>-</v>
      </c>
      <c r="Q42" s="41" t="str">
        <f aca="false">IF(M42&gt;0,O42-G42,"-")</f>
        <v>-</v>
      </c>
      <c r="R42" s="42" t="str">
        <f aca="false">IF(M42&gt;0,IFERROR(Q42/O42,"-"),"-")</f>
        <v>-</v>
      </c>
      <c r="S42" s="41" t="n">
        <f aca="false">IF(M42&gt;0,ROUND(MAX(G42*1.08,O42*0.97)/100,0)*100,ROUND(G42*1.12/100,0)*100)</f>
        <v>339300</v>
      </c>
      <c r="T42" s="42" t="n">
        <f aca="false">IFERROR((S42-G42)/S42,"-")</f>
        <v>0.107250221043324</v>
      </c>
    </row>
    <row r="43" customFormat="false" ht="15" hidden="false" customHeight="false" outlineLevel="0" collapsed="false">
      <c r="A43" s="8" t="s">
        <v>281</v>
      </c>
      <c r="B43" s="8" t="s">
        <v>317</v>
      </c>
      <c r="C43" s="8" t="s">
        <v>318</v>
      </c>
      <c r="D43" s="8" t="s">
        <v>18</v>
      </c>
      <c r="E43" s="8" t="n">
        <v>1680</v>
      </c>
      <c r="F43" s="38" t="n">
        <f aca="false">IFERROR(VALUE(SUBSTITUTE(SUBSTITUTE('HAGO INDOFLAZ'!E8,"Rp. ",""),".","")),'HAGO INDOFLAZ'!E8)</f>
        <v>566224</v>
      </c>
      <c r="G43" s="38" t="n">
        <f aca="false">IFERROR(VALUE(SUBSTITUTE(SUBSTITUTE('HAGO INDOFLAZ'!F8,"Rp. ",""),".","")),'HAGO INDOFLAZ'!F8)</f>
        <v>555335</v>
      </c>
      <c r="H43" s="38" t="n">
        <f aca="false">IFERROR(VALUE(SUBSTITUTE(SUBSTITUTE('HAGO INDOFLAZ'!G8,"Rp. ",""),".","")),'HAGO INDOFLAZ'!G8)</f>
        <v>547169</v>
      </c>
      <c r="I43" s="8" t="s">
        <v>2625</v>
      </c>
      <c r="J43" s="39"/>
      <c r="K43" s="39"/>
      <c r="L43" s="39"/>
      <c r="M43" s="8" t="n">
        <f aca="false">COUNT(J43:L43)</f>
        <v>0</v>
      </c>
      <c r="N43" s="40" t="str">
        <f aca="false">IF(M43&gt;0,"Ada","Tidak Ada")</f>
        <v>Tidak Ada</v>
      </c>
      <c r="O43" s="41" t="str">
        <f aca="false">IF(M43&gt;0,MIN(J43:L43),"-")</f>
        <v>-</v>
      </c>
      <c r="P43" s="41" t="str">
        <f aca="false">IF(M43&gt;0,AVERAGE(J43:L43),"-")</f>
        <v>-</v>
      </c>
      <c r="Q43" s="41" t="str">
        <f aca="false">IF(M43&gt;0,O43-G43,"-")</f>
        <v>-</v>
      </c>
      <c r="R43" s="42" t="str">
        <f aca="false">IF(M43&gt;0,IFERROR(Q43/O43,"-"),"-")</f>
        <v>-</v>
      </c>
      <c r="S43" s="41" t="n">
        <f aca="false">IF(M43&gt;0,ROUND(MAX(G43*1.08,O43*0.97)/100,0)*100,ROUND(G43*1.12/100,0)*100)</f>
        <v>622000</v>
      </c>
      <c r="T43" s="42" t="n">
        <f aca="false">IFERROR((S43-G43)/S43,"-")</f>
        <v>0.10717845659164</v>
      </c>
    </row>
    <row r="44" customFormat="false" ht="15" hidden="false" customHeight="false" outlineLevel="0" collapsed="false">
      <c r="A44" s="8" t="s">
        <v>281</v>
      </c>
      <c r="B44" s="8" t="s">
        <v>323</v>
      </c>
      <c r="C44" s="8" t="s">
        <v>324</v>
      </c>
      <c r="D44" s="8" t="s">
        <v>18</v>
      </c>
      <c r="E44" s="8" t="n">
        <v>3362</v>
      </c>
      <c r="F44" s="38" t="n">
        <f aca="false">IFERROR(VALUE(SUBSTITUTE(SUBSTITUTE('HAGO INDOFLAZ'!E9,"Rp. ",""),".","")),'HAGO INDOFLAZ'!E9)</f>
        <v>1132447</v>
      </c>
      <c r="G44" s="38" t="n">
        <f aca="false">IFERROR(VALUE(SUBSTITUTE(SUBSTITUTE('HAGO INDOFLAZ'!F9,"Rp. ",""),".","")),'HAGO INDOFLAZ'!F9)</f>
        <v>1110669</v>
      </c>
      <c r="H44" s="38" t="n">
        <f aca="false">IFERROR(VALUE(SUBSTITUTE(SUBSTITUTE('HAGO INDOFLAZ'!G9,"Rp. ",""),".","")),'HAGO INDOFLAZ'!G9)</f>
        <v>1094336</v>
      </c>
      <c r="I44" s="8" t="s">
        <v>2625</v>
      </c>
      <c r="J44" s="39"/>
      <c r="K44" s="39"/>
      <c r="L44" s="39"/>
      <c r="M44" s="8" t="n">
        <f aca="false">COUNT(J44:L44)</f>
        <v>0</v>
      </c>
      <c r="N44" s="40" t="str">
        <f aca="false">IF(M44&gt;0,"Ada","Tidak Ada")</f>
        <v>Tidak Ada</v>
      </c>
      <c r="O44" s="41" t="str">
        <f aca="false">IF(M44&gt;0,MIN(J44:L44),"-")</f>
        <v>-</v>
      </c>
      <c r="P44" s="41" t="str">
        <f aca="false">IF(M44&gt;0,AVERAGE(J44:L44),"-")</f>
        <v>-</v>
      </c>
      <c r="Q44" s="41" t="str">
        <f aca="false">IF(M44&gt;0,O44-G44,"-")</f>
        <v>-</v>
      </c>
      <c r="R44" s="42" t="str">
        <f aca="false">IF(M44&gt;0,IFERROR(Q44/O44,"-"),"-")</f>
        <v>-</v>
      </c>
      <c r="S44" s="41" t="n">
        <f aca="false">IF(M44&gt;0,ROUND(MAX(G44*1.08,O44*0.97)/100,0)*100,ROUND(G44*1.12/100,0)*100)</f>
        <v>1243900</v>
      </c>
      <c r="T44" s="42" t="n">
        <f aca="false">IFERROR((S44-G44)/S44,"-")</f>
        <v>0.107107484524479</v>
      </c>
    </row>
    <row r="45" customFormat="false" ht="15" hidden="false" customHeight="false" outlineLevel="0" collapsed="false">
      <c r="A45" s="8" t="s">
        <v>330</v>
      </c>
      <c r="B45" s="8" t="s">
        <v>329</v>
      </c>
      <c r="C45" s="8" t="s">
        <v>331</v>
      </c>
      <c r="D45" s="8" t="s">
        <v>19</v>
      </c>
      <c r="E45" s="8" t="n">
        <v>128</v>
      </c>
      <c r="F45" s="38" t="n">
        <f aca="false">IFERROR(VALUE(SUBSTITUTE(SUBSTITUTE('Call Of Duty Mobile INDOFLAZ'!E2,"Rp. ",""),".","")),'Call Of Duty Mobile INDOFLAZ'!E2)</f>
        <v>17899</v>
      </c>
      <c r="G45" s="38" t="n">
        <f aca="false">IFERROR(VALUE(SUBSTITUTE(SUBSTITUTE('Call Of Duty Mobile INDOFLAZ'!F2,"Rp. ",""),".","")),'Call Of Duty Mobile INDOFLAZ'!F2)</f>
        <v>17727</v>
      </c>
      <c r="H45" s="38" t="n">
        <f aca="false">IFERROR(VALUE(SUBSTITUTE(SUBSTITUTE('Call Of Duty Mobile INDOFLAZ'!G2,"Rp. ",""),".","")),'Call Of Duty Mobile INDOFLAZ'!G2)</f>
        <v>17297</v>
      </c>
      <c r="I45" s="8" t="s">
        <v>2626</v>
      </c>
      <c r="J45" s="38" t="n">
        <f aca="false">'Call Of Duty Mobile OURA STORE'!A8</f>
        <v>20011</v>
      </c>
      <c r="K45" s="39"/>
      <c r="L45" s="39"/>
      <c r="M45" s="8" t="n">
        <f aca="false">COUNT(J45:L45)</f>
        <v>1</v>
      </c>
      <c r="N45" s="40" t="str">
        <f aca="false">IF(M45&gt;0,"Ada","Tidak Ada")</f>
        <v>Ada</v>
      </c>
      <c r="O45" s="41" t="n">
        <f aca="false">IF(M45&gt;0,MIN(J45:L45),"-")</f>
        <v>20011</v>
      </c>
      <c r="P45" s="41" t="n">
        <f aca="false">IF(M45&gt;0,AVERAGE(J45:L45),"-")</f>
        <v>20011</v>
      </c>
      <c r="Q45" s="41" t="n">
        <f aca="false">IF(M45&gt;0,O45-G45,"-")</f>
        <v>2284</v>
      </c>
      <c r="R45" s="42" t="n">
        <f aca="false">IF(M45&gt;0,IFERROR(Q45/O45,"-"),"-")</f>
        <v>0.11413722452651</v>
      </c>
      <c r="S45" s="41" t="n">
        <f aca="false">IF(M45&gt;0,ROUND(MAX(G45*1.08,O45*0.97)/100,0)*100,ROUND(G45*1.12/100,0)*100)</f>
        <v>19400</v>
      </c>
      <c r="T45" s="42" t="n">
        <f aca="false">IFERROR((S45-G45)/S45,"-")</f>
        <v>0.0862371134020619</v>
      </c>
    </row>
    <row r="46" customFormat="false" ht="15" hidden="false" customHeight="false" outlineLevel="0" collapsed="false">
      <c r="A46" s="8" t="s">
        <v>330</v>
      </c>
      <c r="B46" s="8" t="s">
        <v>336</v>
      </c>
      <c r="C46" s="8" t="s">
        <v>337</v>
      </c>
      <c r="D46" s="8" t="s">
        <v>19</v>
      </c>
      <c r="E46" s="8" t="n">
        <v>321</v>
      </c>
      <c r="F46" s="38" t="n">
        <f aca="false">IFERROR(VALUE(SUBSTITUTE(SUBSTITUTE('Call Of Duty Mobile INDOFLAZ'!E3,"Rp. ",""),".","")),'Call Of Duty Mobile INDOFLAZ'!E3)</f>
        <v>47346</v>
      </c>
      <c r="G46" s="38" t="n">
        <f aca="false">IFERROR(VALUE(SUBSTITUTE(SUBSTITUTE('Call Of Duty Mobile INDOFLAZ'!F3,"Rp. ",""),".","")),'Call Of Duty Mobile INDOFLAZ'!F3)</f>
        <v>46891</v>
      </c>
      <c r="H46" s="38" t="n">
        <f aca="false">IFERROR(VALUE(SUBSTITUTE(SUBSTITUTE('Call Of Duty Mobile INDOFLAZ'!G3,"Rp. ",""),".","")),'Call Of Duty Mobile INDOFLAZ'!G3)</f>
        <v>45753</v>
      </c>
      <c r="I46" s="8" t="s">
        <v>2626</v>
      </c>
      <c r="J46" s="38" t="n">
        <f aca="false">'Call Of Duty Mobile OURA STORE'!A10</f>
        <v>50025</v>
      </c>
      <c r="K46" s="39"/>
      <c r="L46" s="39"/>
      <c r="M46" s="8" t="n">
        <f aca="false">COUNT(J46:L46)</f>
        <v>1</v>
      </c>
      <c r="N46" s="40" t="str">
        <f aca="false">IF(M46&gt;0,"Ada","Tidak Ada")</f>
        <v>Ada</v>
      </c>
      <c r="O46" s="41" t="n">
        <f aca="false">IF(M46&gt;0,MIN(J46:L46),"-")</f>
        <v>50025</v>
      </c>
      <c r="P46" s="41" t="n">
        <f aca="false">IF(M46&gt;0,AVERAGE(J46:L46),"-")</f>
        <v>50025</v>
      </c>
      <c r="Q46" s="41" t="n">
        <f aca="false">IF(M46&gt;0,O46-G46,"-")</f>
        <v>3134</v>
      </c>
      <c r="R46" s="42" t="n">
        <f aca="false">IF(M46&gt;0,IFERROR(Q46/O46,"-"),"-")</f>
        <v>0.0626486756621689</v>
      </c>
      <c r="S46" s="41" t="n">
        <f aca="false">IF(M46&gt;0,ROUND(MAX(G46*1.08,O46*0.97)/100,0)*100,ROUND(G46*1.12/100,0)*100)</f>
        <v>50600</v>
      </c>
      <c r="T46" s="42" t="n">
        <f aca="false">IFERROR((S46-G46)/S46,"-")</f>
        <v>0.073300395256917</v>
      </c>
    </row>
    <row r="47" customFormat="false" ht="15" hidden="false" customHeight="false" outlineLevel="0" collapsed="false">
      <c r="A47" s="8" t="s">
        <v>330</v>
      </c>
      <c r="B47" s="8" t="s">
        <v>342</v>
      </c>
      <c r="C47" s="8" t="s">
        <v>343</v>
      </c>
      <c r="D47" s="8" t="s">
        <v>19</v>
      </c>
      <c r="E47" s="8" t="n">
        <v>528</v>
      </c>
      <c r="F47" s="38" t="n">
        <f aca="false">IFERROR(VALUE(SUBSTITUTE(SUBSTITUTE('Call Of Duty Mobile INDOFLAZ'!E4,"Rp. ",""),".","")),'Call Of Duty Mobile INDOFLAZ'!E4)</f>
        <v>94822</v>
      </c>
      <c r="G47" s="38" t="n">
        <f aca="false">IFERROR(VALUE(SUBSTITUTE(SUBSTITUTE('Call Of Duty Mobile INDOFLAZ'!F4,"Rp. ",""),".","")),'Call Of Duty Mobile INDOFLAZ'!F4)</f>
        <v>93911</v>
      </c>
      <c r="H47" s="38" t="n">
        <f aca="false">IFERROR(VALUE(SUBSTITUTE(SUBSTITUTE('Call Of Duty Mobile INDOFLAZ'!G4,"Rp. ",""),".","")),'Call Of Duty Mobile INDOFLAZ'!G4)</f>
        <v>91631</v>
      </c>
      <c r="I47" s="8" t="s">
        <v>2625</v>
      </c>
      <c r="J47" s="39"/>
      <c r="K47" s="39"/>
      <c r="L47" s="39"/>
      <c r="M47" s="8" t="n">
        <f aca="false">COUNT(J47:L47)</f>
        <v>0</v>
      </c>
      <c r="N47" s="40" t="str">
        <f aca="false">IF(M47&gt;0,"Ada","Tidak Ada")</f>
        <v>Tidak Ada</v>
      </c>
      <c r="O47" s="41" t="str">
        <f aca="false">IF(M47&gt;0,MIN(J47:L47),"-")</f>
        <v>-</v>
      </c>
      <c r="P47" s="41" t="str">
        <f aca="false">IF(M47&gt;0,AVERAGE(J47:L47),"-")</f>
        <v>-</v>
      </c>
      <c r="Q47" s="41" t="str">
        <f aca="false">IF(M47&gt;0,O47-G47,"-")</f>
        <v>-</v>
      </c>
      <c r="R47" s="42" t="str">
        <f aca="false">IF(M47&gt;0,IFERROR(Q47/O47,"-"),"-")</f>
        <v>-</v>
      </c>
      <c r="S47" s="41" t="n">
        <f aca="false">IF(M47&gt;0,ROUND(MAX(G47*1.08,O47*0.97)/100,0)*100,ROUND(G47*1.12/100,0)*100)</f>
        <v>105200</v>
      </c>
      <c r="T47" s="42" t="n">
        <f aca="false">IFERROR((S47-G47)/S47,"-")</f>
        <v>0.107309885931559</v>
      </c>
    </row>
    <row r="48" customFormat="false" ht="15" hidden="false" customHeight="false" outlineLevel="0" collapsed="false">
      <c r="A48" s="8" t="s">
        <v>330</v>
      </c>
      <c r="B48" s="8" t="s">
        <v>348</v>
      </c>
      <c r="C48" s="8" t="s">
        <v>349</v>
      </c>
      <c r="D48" s="8" t="s">
        <v>19</v>
      </c>
      <c r="E48" s="8" t="n">
        <v>1056</v>
      </c>
      <c r="F48" s="38" t="n">
        <f aca="false">IFERROR(VALUE(SUBSTITUTE(SUBSTITUTE('Call Of Duty Mobile INDOFLAZ'!E5,"Rp. ",""),".","")),'Call Of Duty Mobile INDOFLAZ'!E5)</f>
        <v>197522</v>
      </c>
      <c r="G48" s="38" t="n">
        <f aca="false">IFERROR(VALUE(SUBSTITUTE(SUBSTITUTE('Call Of Duty Mobile INDOFLAZ'!F5,"Rp. ",""),".","")),'Call Of Duty Mobile INDOFLAZ'!F5)</f>
        <v>195623</v>
      </c>
      <c r="H48" s="38" t="n">
        <f aca="false">IFERROR(VALUE(SUBSTITUTE(SUBSTITUTE('Call Of Duty Mobile INDOFLAZ'!G5,"Rp. ",""),".","")),'Call Of Duty Mobile INDOFLAZ'!G5)</f>
        <v>190875</v>
      </c>
      <c r="I48" s="8" t="s">
        <v>2625</v>
      </c>
      <c r="J48" s="39"/>
      <c r="K48" s="39"/>
      <c r="L48" s="39"/>
      <c r="M48" s="8" t="n">
        <f aca="false">COUNT(J48:L48)</f>
        <v>0</v>
      </c>
      <c r="N48" s="40" t="str">
        <f aca="false">IF(M48&gt;0,"Ada","Tidak Ada")</f>
        <v>Tidak Ada</v>
      </c>
      <c r="O48" s="41" t="str">
        <f aca="false">IF(M48&gt;0,MIN(J48:L48),"-")</f>
        <v>-</v>
      </c>
      <c r="P48" s="41" t="str">
        <f aca="false">IF(M48&gt;0,AVERAGE(J48:L48),"-")</f>
        <v>-</v>
      </c>
      <c r="Q48" s="41" t="str">
        <f aca="false">IF(M48&gt;0,O48-G48,"-")</f>
        <v>-</v>
      </c>
      <c r="R48" s="42" t="str">
        <f aca="false">IF(M48&gt;0,IFERROR(Q48/O48,"-"),"-")</f>
        <v>-</v>
      </c>
      <c r="S48" s="41" t="n">
        <f aca="false">IF(M48&gt;0,ROUND(MAX(G48*1.08,O48*0.97)/100,0)*100,ROUND(G48*1.12/100,0)*100)</f>
        <v>219100</v>
      </c>
      <c r="T48" s="42" t="n">
        <f aca="false">IFERROR((S48-G48)/S48,"-")</f>
        <v>0.107151985394797</v>
      </c>
    </row>
    <row r="49" customFormat="false" ht="15" hidden="false" customHeight="false" outlineLevel="0" collapsed="false">
      <c r="A49" s="8" t="s">
        <v>330</v>
      </c>
      <c r="B49" s="8" t="s">
        <v>354</v>
      </c>
      <c r="C49" s="8" t="s">
        <v>355</v>
      </c>
      <c r="D49" s="8" t="s">
        <v>19</v>
      </c>
      <c r="E49" s="8" t="n">
        <v>1584</v>
      </c>
      <c r="F49" s="38" t="n">
        <f aca="false">IFERROR(VALUE(SUBSTITUTE(SUBSTITUTE('Call Of Duty Mobile INDOFLAZ'!E6,"Rp. ",""),".","")),'Call Of Duty Mobile INDOFLAZ'!E6)</f>
        <v>273026</v>
      </c>
      <c r="G49" s="38" t="n">
        <f aca="false">IFERROR(VALUE(SUBSTITUTE(SUBSTITUTE('Call Of Duty Mobile INDOFLAZ'!F6,"Rp. ",""),".","")),'Call Of Duty Mobile INDOFLAZ'!F6)</f>
        <v>270401</v>
      </c>
      <c r="H49" s="38" t="n">
        <f aca="false">IFERROR(VALUE(SUBSTITUTE(SUBSTITUTE('Call Of Duty Mobile INDOFLAZ'!G6,"Rp. ",""),".","")),'Call Of Duty Mobile INDOFLAZ'!G6)</f>
        <v>263838</v>
      </c>
      <c r="I49" s="8" t="s">
        <v>2625</v>
      </c>
      <c r="J49" s="39"/>
      <c r="K49" s="39"/>
      <c r="L49" s="39"/>
      <c r="M49" s="8" t="n">
        <f aca="false">COUNT(J49:L49)</f>
        <v>0</v>
      </c>
      <c r="N49" s="40" t="str">
        <f aca="false">IF(M49&gt;0,"Ada","Tidak Ada")</f>
        <v>Tidak Ada</v>
      </c>
      <c r="O49" s="41" t="str">
        <f aca="false">IF(M49&gt;0,MIN(J49:L49),"-")</f>
        <v>-</v>
      </c>
      <c r="P49" s="41" t="str">
        <f aca="false">IF(M49&gt;0,AVERAGE(J49:L49),"-")</f>
        <v>-</v>
      </c>
      <c r="Q49" s="41" t="str">
        <f aca="false">IF(M49&gt;0,O49-G49,"-")</f>
        <v>-</v>
      </c>
      <c r="R49" s="42" t="str">
        <f aca="false">IF(M49&gt;0,IFERROR(Q49/O49,"-"),"-")</f>
        <v>-</v>
      </c>
      <c r="S49" s="41" t="n">
        <f aca="false">IF(M49&gt;0,ROUND(MAX(G49*1.08,O49*0.97)/100,0)*100,ROUND(G49*1.12/100,0)*100)</f>
        <v>302800</v>
      </c>
      <c r="T49" s="42" t="n">
        <f aca="false">IFERROR((S49-G49)/S49,"-")</f>
        <v>0.106998018494055</v>
      </c>
    </row>
    <row r="50" customFormat="false" ht="15" hidden="false" customHeight="false" outlineLevel="0" collapsed="false">
      <c r="A50" s="8" t="s">
        <v>330</v>
      </c>
      <c r="B50" s="8" t="s">
        <v>360</v>
      </c>
      <c r="C50" s="8" t="s">
        <v>361</v>
      </c>
      <c r="D50" s="8" t="s">
        <v>19</v>
      </c>
      <c r="E50" s="8" t="n">
        <v>2059</v>
      </c>
      <c r="F50" s="38" t="n">
        <f aca="false">IFERROR(VALUE(SUBSTITUTE(SUBSTITUTE('Call Of Duty Mobile INDOFLAZ'!E7,"Rp. ",""),".","")),'Call Of Duty Mobile INDOFLAZ'!E7)</f>
        <v>278608</v>
      </c>
      <c r="G50" s="38" t="n">
        <f aca="false">IFERROR(VALUE(SUBSTITUTE(SUBSTITUTE('Call Of Duty Mobile INDOFLAZ'!F7,"Rp. ",""),".","")),'Call Of Duty Mobile INDOFLAZ'!F7)</f>
        <v>275929</v>
      </c>
      <c r="H50" s="38" t="n">
        <f aca="false">IFERROR(VALUE(SUBSTITUTE(SUBSTITUTE('Call Of Duty Mobile INDOFLAZ'!G7,"Rp. ",""),".","")),'Call Of Duty Mobile INDOFLAZ'!G7)</f>
        <v>269232</v>
      </c>
      <c r="I50" s="8" t="s">
        <v>2625</v>
      </c>
      <c r="J50" s="39"/>
      <c r="K50" s="39"/>
      <c r="L50" s="39"/>
      <c r="M50" s="8" t="n">
        <f aca="false">COUNT(J50:L50)</f>
        <v>0</v>
      </c>
      <c r="N50" s="40" t="str">
        <f aca="false">IF(M50&gt;0,"Ada","Tidak Ada")</f>
        <v>Tidak Ada</v>
      </c>
      <c r="O50" s="41" t="str">
        <f aca="false">IF(M50&gt;0,MIN(J50:L50),"-")</f>
        <v>-</v>
      </c>
      <c r="P50" s="41" t="str">
        <f aca="false">IF(M50&gt;0,AVERAGE(J50:L50),"-")</f>
        <v>-</v>
      </c>
      <c r="Q50" s="41" t="str">
        <f aca="false">IF(M50&gt;0,O50-G50,"-")</f>
        <v>-</v>
      </c>
      <c r="R50" s="42" t="str">
        <f aca="false">IF(M50&gt;0,IFERROR(Q50/O50,"-"),"-")</f>
        <v>-</v>
      </c>
      <c r="S50" s="41" t="n">
        <f aca="false">IF(M50&gt;0,ROUND(MAX(G50*1.08,O50*0.97)/100,0)*100,ROUND(G50*1.12/100,0)*100)</f>
        <v>309000</v>
      </c>
      <c r="T50" s="42" t="n">
        <f aca="false">IFERROR((S50-G50)/S50,"-")</f>
        <v>0.107025889967638</v>
      </c>
    </row>
    <row r="51" customFormat="false" ht="15" hidden="false" customHeight="false" outlineLevel="0" collapsed="false">
      <c r="A51" s="8" t="s">
        <v>330</v>
      </c>
      <c r="B51" s="8" t="s">
        <v>366</v>
      </c>
      <c r="C51" s="8" t="s">
        <v>367</v>
      </c>
      <c r="D51" s="8" t="s">
        <v>19</v>
      </c>
      <c r="E51" s="8" t="n">
        <v>38280</v>
      </c>
      <c r="F51" s="38" t="n">
        <f aca="false">IFERROR(VALUE(SUBSTITUTE(SUBSTITUTE('Call Of Duty Mobile INDOFLAZ'!E8,"Rp. ",""),".","")),'Call Of Duty Mobile INDOFLAZ'!E8)</f>
        <v>4869878</v>
      </c>
      <c r="G51" s="38" t="n">
        <f aca="false">IFERROR(VALUE(SUBSTITUTE(SUBSTITUTE('Call Of Duty Mobile INDOFLAZ'!F8,"Rp. ",""),".","")),'Call Of Duty Mobile INDOFLAZ'!F8)</f>
        <v>4823053</v>
      </c>
      <c r="H51" s="38" t="n">
        <f aca="false">IFERROR(VALUE(SUBSTITUTE(SUBSTITUTE('Call Of Duty Mobile INDOFLAZ'!G8,"Rp. ",""),".","")),'Call Of Duty Mobile INDOFLAZ'!G8)</f>
        <v>4705988</v>
      </c>
      <c r="I51" s="8" t="s">
        <v>2626</v>
      </c>
      <c r="J51" s="38" t="n">
        <f aca="false">'Call Of Duty Mobile OURA STORE'!A30</f>
        <v>5140575</v>
      </c>
      <c r="K51" s="39"/>
      <c r="L51" s="39"/>
      <c r="M51" s="8" t="n">
        <f aca="false">COUNT(J51:L51)</f>
        <v>1</v>
      </c>
      <c r="N51" s="40" t="str">
        <f aca="false">IF(M51&gt;0,"Ada","Tidak Ada")</f>
        <v>Ada</v>
      </c>
      <c r="O51" s="41" t="n">
        <f aca="false">IF(M51&gt;0,MIN(J51:L51),"-")</f>
        <v>5140575</v>
      </c>
      <c r="P51" s="41" t="n">
        <f aca="false">IF(M51&gt;0,AVERAGE(J51:L51),"-")</f>
        <v>5140575</v>
      </c>
      <c r="Q51" s="41" t="n">
        <f aca="false">IF(M51&gt;0,O51-G51,"-")</f>
        <v>317522</v>
      </c>
      <c r="R51" s="42" t="n">
        <f aca="false">IF(M51&gt;0,IFERROR(Q51/O51,"-"),"-")</f>
        <v>0.0617677983494064</v>
      </c>
      <c r="S51" s="41" t="n">
        <f aca="false">IF(M51&gt;0,ROUND(MAX(G51*1.08,O51*0.97)/100,0)*100,ROUND(G51*1.12/100,0)*100)</f>
        <v>5208900</v>
      </c>
      <c r="T51" s="42" t="n">
        <f aca="false">IFERROR((S51-G51)/S51,"-")</f>
        <v>0.074074564687362</v>
      </c>
    </row>
    <row r="52" customFormat="false" ht="15" hidden="false" customHeight="false" outlineLevel="0" collapsed="false">
      <c r="A52" s="8" t="s">
        <v>385</v>
      </c>
      <c r="B52" s="8" t="s">
        <v>384</v>
      </c>
      <c r="C52" s="8" t="s">
        <v>386</v>
      </c>
      <c r="D52" s="8" t="s">
        <v>20</v>
      </c>
      <c r="E52" s="8" t="n">
        <v>6480</v>
      </c>
      <c r="F52" s="38" t="n">
        <f aca="false">IFERROR(VALUE(SUBSTITUTE(SUBSTITUTE('Honkai  Star Rail INDOFLAZ'!E2,"Rp. ",""),".","")),'Honkai  Star Rail INDOFLAZ'!E2)</f>
        <v>5790538</v>
      </c>
      <c r="G52" s="38" t="n">
        <f aca="false">IFERROR(VALUE(SUBSTITUTE(SUBSTITUTE('Honkai  Star Rail INDOFLAZ'!F2,"Rp. ",""),".","")),'Honkai  Star Rail INDOFLAZ'!F2)</f>
        <v>5733768</v>
      </c>
      <c r="H52" s="38" t="n">
        <f aca="false">IFERROR(VALUE(SUBSTITUTE(SUBSTITUTE('Honkai  Star Rail INDOFLAZ'!G2,"Rp. ",""),".","")),'Honkai  Star Rail INDOFLAZ'!G2)</f>
        <v>5705383</v>
      </c>
      <c r="I52" s="8" t="s">
        <v>2625</v>
      </c>
      <c r="J52" s="39"/>
      <c r="K52" s="39"/>
      <c r="L52" s="39"/>
      <c r="M52" s="8" t="n">
        <f aca="false">COUNT(J52:L52)</f>
        <v>0</v>
      </c>
      <c r="N52" s="40" t="str">
        <f aca="false">IF(M52&gt;0,"Ada","Tidak Ada")</f>
        <v>Tidak Ada</v>
      </c>
      <c r="O52" s="41" t="str">
        <f aca="false">IF(M52&gt;0,MIN(J52:L52),"-")</f>
        <v>-</v>
      </c>
      <c r="P52" s="41" t="str">
        <f aca="false">IF(M52&gt;0,AVERAGE(J52:L52),"-")</f>
        <v>-</v>
      </c>
      <c r="Q52" s="41" t="str">
        <f aca="false">IF(M52&gt;0,O52-G52,"-")</f>
        <v>-</v>
      </c>
      <c r="R52" s="42" t="str">
        <f aca="false">IF(M52&gt;0,IFERROR(Q52/O52,"-"),"-")</f>
        <v>-</v>
      </c>
      <c r="S52" s="41" t="n">
        <f aca="false">IF(M52&gt;0,ROUND(MAX(G52*1.08,O52*0.97)/100,0)*100,ROUND(G52*1.12/100,0)*100)</f>
        <v>6421800</v>
      </c>
      <c r="T52" s="42" t="n">
        <f aca="false">IFERROR((S52-G52)/S52,"-")</f>
        <v>0.107140054190414</v>
      </c>
    </row>
    <row r="53" customFormat="false" ht="15" hidden="false" customHeight="false" outlineLevel="0" collapsed="false">
      <c r="A53" s="8" t="s">
        <v>409</v>
      </c>
      <c r="B53" s="8" t="s">
        <v>408</v>
      </c>
      <c r="C53" s="8" t="s">
        <v>410</v>
      </c>
      <c r="D53" s="8" t="s">
        <v>21</v>
      </c>
      <c r="E53" s="8" t="n">
        <v>3</v>
      </c>
      <c r="F53" s="38" t="n">
        <f aca="false">IFERROR(VALUE(SUBSTITUTE(SUBSTITUTE('MLBB INDOFLAZ'!E2,"Rp. ",""),".","")),'MLBB INDOFLAZ'!E2)</f>
        <v>1030</v>
      </c>
      <c r="G53" s="38" t="n">
        <f aca="false">IFERROR(VALUE(SUBSTITUTE(SUBSTITUTE('MLBB INDOFLAZ'!F2,"Rp. ",""),".","")),'MLBB INDOFLAZ'!F2)</f>
        <v>1020</v>
      </c>
      <c r="H53" s="38" t="n">
        <f aca="false">IFERROR(VALUE(SUBSTITUTE(SUBSTITUTE('MLBB INDOFLAZ'!G2,"Rp. ",""),".","")),'MLBB INDOFLAZ'!G2)</f>
        <v>1010</v>
      </c>
      <c r="I53" s="8" t="s">
        <v>2627</v>
      </c>
      <c r="J53" s="38" t="str">
        <f aca="false">'MLBB EMPESHOP'!A11</f>
        <v>Rp 86.955,-</v>
      </c>
      <c r="K53" s="39"/>
      <c r="L53" s="39"/>
      <c r="M53" s="8" t="n">
        <f aca="false">COUNT(J53:L53)</f>
        <v>0</v>
      </c>
      <c r="N53" s="40" t="str">
        <f aca="false">IF(M53&gt;0,"Ada","Tidak Ada")</f>
        <v>Tidak Ada</v>
      </c>
      <c r="O53" s="41" t="str">
        <f aca="false">IF(M53&gt;0,MIN(J53:L53),"-")</f>
        <v>-</v>
      </c>
      <c r="P53" s="41" t="str">
        <f aca="false">IF(M53&gt;0,AVERAGE(J53:L53),"-")</f>
        <v>-</v>
      </c>
      <c r="Q53" s="41" t="str">
        <f aca="false">IF(M53&gt;0,O53-G53,"-")</f>
        <v>-</v>
      </c>
      <c r="R53" s="42" t="str">
        <f aca="false">IF(M53&gt;0,IFERROR(Q53/O53,"-"),"-")</f>
        <v>-</v>
      </c>
      <c r="S53" s="41" t="n">
        <f aca="false">IF(M53&gt;0,ROUND(MAX(G53*1.08,O53*0.97)/100,0)*100,ROUND(G53*1.12/100,0)*100)</f>
        <v>1100</v>
      </c>
      <c r="T53" s="42" t="n">
        <f aca="false">IFERROR((S53-G53)/S53,"-")</f>
        <v>0.0727272727272727</v>
      </c>
    </row>
    <row r="54" customFormat="false" ht="15" hidden="false" customHeight="false" outlineLevel="0" collapsed="false">
      <c r="A54" s="8" t="s">
        <v>409</v>
      </c>
      <c r="B54" s="8" t="s">
        <v>415</v>
      </c>
      <c r="C54" s="8" t="s">
        <v>416</v>
      </c>
      <c r="D54" s="8" t="s">
        <v>21</v>
      </c>
      <c r="E54" s="8" t="n">
        <v>5</v>
      </c>
      <c r="F54" s="38" t="n">
        <f aca="false">IFERROR(VALUE(SUBSTITUTE(SUBSTITUTE('MLBB INDOFLAZ'!E3,"Rp. ",""),".","")),'MLBB INDOFLAZ'!E3)</f>
        <v>1478</v>
      </c>
      <c r="G54" s="38" t="n">
        <f aca="false">IFERROR(VALUE(SUBSTITUTE(SUBSTITUTE('MLBB INDOFLAZ'!F3,"Rp. ",""),".","")),'MLBB INDOFLAZ'!F3)</f>
        <v>1463</v>
      </c>
      <c r="H54" s="38" t="n">
        <f aca="false">IFERROR(VALUE(SUBSTITUTE(SUBSTITUTE('MLBB INDOFLAZ'!G3,"Rp. ",""),".","")),'MLBB INDOFLAZ'!G3)</f>
        <v>1449</v>
      </c>
      <c r="I54" s="8" t="s">
        <v>2628</v>
      </c>
      <c r="J54" s="38" t="n">
        <f aca="false">'MLBB OURA STORE'!A4</f>
        <v>1530</v>
      </c>
      <c r="K54" s="38" t="str">
        <f aca="false">'MLBB EMPESHOP'!A8</f>
        <v>Rp 144.924,-</v>
      </c>
      <c r="L54" s="39"/>
      <c r="M54" s="8" t="n">
        <f aca="false">COUNT(J54:L54)</f>
        <v>1</v>
      </c>
      <c r="N54" s="40" t="str">
        <f aca="false">IF(M54&gt;0,"Ada","Tidak Ada")</f>
        <v>Ada</v>
      </c>
      <c r="O54" s="41" t="n">
        <f aca="false">IF(M54&gt;0,MIN(J54:L54),"-")</f>
        <v>1530</v>
      </c>
      <c r="P54" s="41" t="n">
        <f aca="false">IF(M54&gt;0,AVERAGE(J54:L54),"-")</f>
        <v>1530</v>
      </c>
      <c r="Q54" s="41" t="n">
        <f aca="false">IF(M54&gt;0,O54-G54,"-")</f>
        <v>67</v>
      </c>
      <c r="R54" s="42" t="n">
        <f aca="false">IF(M54&gt;0,IFERROR(Q54/O54,"-"),"-")</f>
        <v>0.0437908496732026</v>
      </c>
      <c r="S54" s="41" t="n">
        <f aca="false">IF(M54&gt;0,ROUND(MAX(G54*1.08,O54*0.97)/100,0)*100,ROUND(G54*1.12/100,0)*100)</f>
        <v>1600</v>
      </c>
      <c r="T54" s="42" t="n">
        <f aca="false">IFERROR((S54-G54)/S54,"-")</f>
        <v>0.085625</v>
      </c>
    </row>
    <row r="55" customFormat="false" ht="15" hidden="false" customHeight="false" outlineLevel="0" collapsed="false">
      <c r="A55" s="8" t="s">
        <v>409</v>
      </c>
      <c r="B55" s="8" t="s">
        <v>421</v>
      </c>
      <c r="C55" s="8" t="s">
        <v>422</v>
      </c>
      <c r="D55" s="8" t="s">
        <v>21</v>
      </c>
      <c r="E55" s="8" t="n">
        <v>10</v>
      </c>
      <c r="F55" s="38" t="n">
        <f aca="false">IFERROR(VALUE(SUBSTITUTE(SUBSTITUTE('MLBB INDOFLAZ'!E4,"Rp. ",""),".","")),'MLBB INDOFLAZ'!E4)</f>
        <v>2956</v>
      </c>
      <c r="G55" s="38" t="n">
        <f aca="false">IFERROR(VALUE(SUBSTITUTE(SUBSTITUTE('MLBB INDOFLAZ'!F4,"Rp. ",""),".","")),'MLBB INDOFLAZ'!F4)</f>
        <v>2927</v>
      </c>
      <c r="H55" s="38" t="n">
        <f aca="false">IFERROR(VALUE(SUBSTITUTE(SUBSTITUTE('MLBB INDOFLAZ'!G4,"Rp. ",""),".","")),'MLBB INDOFLAZ'!G4)</f>
        <v>2898</v>
      </c>
      <c r="I55" s="8" t="s">
        <v>2629</v>
      </c>
      <c r="J55" s="38" t="n">
        <f aca="false">'MLBB OURA STORE'!A6</f>
        <v>3111</v>
      </c>
      <c r="K55" s="39"/>
      <c r="L55" s="39"/>
      <c r="M55" s="8" t="n">
        <f aca="false">COUNT(J55:L55)</f>
        <v>1</v>
      </c>
      <c r="N55" s="40" t="str">
        <f aca="false">IF(M55&gt;0,"Ada","Tidak Ada")</f>
        <v>Ada</v>
      </c>
      <c r="O55" s="41" t="n">
        <f aca="false">IF(M55&gt;0,MIN(J55:L55),"-")</f>
        <v>3111</v>
      </c>
      <c r="P55" s="41" t="n">
        <f aca="false">IF(M55&gt;0,AVERAGE(J55:L55),"-")</f>
        <v>3111</v>
      </c>
      <c r="Q55" s="41" t="n">
        <f aca="false">IF(M55&gt;0,O55-G55,"-")</f>
        <v>184</v>
      </c>
      <c r="R55" s="42" t="n">
        <f aca="false">IF(M55&gt;0,IFERROR(Q55/O55,"-"),"-")</f>
        <v>0.0591449694631951</v>
      </c>
      <c r="S55" s="41" t="n">
        <f aca="false">IF(M55&gt;0,ROUND(MAX(G55*1.08,O55*0.97)/100,0)*100,ROUND(G55*1.12/100,0)*100)</f>
        <v>3200</v>
      </c>
      <c r="T55" s="42" t="n">
        <f aca="false">IFERROR((S55-G55)/S55,"-")</f>
        <v>0.0853125</v>
      </c>
    </row>
    <row r="56" customFormat="false" ht="15" hidden="false" customHeight="false" outlineLevel="0" collapsed="false">
      <c r="A56" s="8" t="s">
        <v>409</v>
      </c>
      <c r="B56" s="8" t="s">
        <v>427</v>
      </c>
      <c r="C56" s="8" t="s">
        <v>428</v>
      </c>
      <c r="D56" s="8" t="s">
        <v>21</v>
      </c>
      <c r="E56" s="8" t="n">
        <v>14</v>
      </c>
      <c r="F56" s="38" t="n">
        <f aca="false">IFERROR(VALUE(SUBSTITUTE(SUBSTITUTE('MLBB INDOFLAZ'!E5,"Rp. ",""),".","")),'MLBB INDOFLAZ'!E5)</f>
        <v>3974</v>
      </c>
      <c r="G56" s="38" t="n">
        <f aca="false">IFERROR(VALUE(SUBSTITUTE(SUBSTITUTE('MLBB INDOFLAZ'!F5,"Rp. ",""),".","")),'MLBB INDOFLAZ'!F5)</f>
        <v>3936</v>
      </c>
      <c r="H56" s="38" t="n">
        <f aca="false">IFERROR(VALUE(SUBSTITUTE(SUBSTITUTE('MLBB INDOFLAZ'!G5,"Rp. ",""),".","")),'MLBB INDOFLAZ'!G5)</f>
        <v>3897</v>
      </c>
      <c r="I56" s="8" t="s">
        <v>2629</v>
      </c>
      <c r="J56" s="38" t="n">
        <f aca="false">'MLBB OURA STORE'!A10</f>
        <v>4148</v>
      </c>
      <c r="K56" s="39"/>
      <c r="L56" s="39"/>
      <c r="M56" s="8" t="n">
        <f aca="false">COUNT(J56:L56)</f>
        <v>1</v>
      </c>
      <c r="N56" s="40" t="str">
        <f aca="false">IF(M56&gt;0,"Ada","Tidak Ada")</f>
        <v>Ada</v>
      </c>
      <c r="O56" s="41" t="n">
        <f aca="false">IF(M56&gt;0,MIN(J56:L56),"-")</f>
        <v>4148</v>
      </c>
      <c r="P56" s="41" t="n">
        <f aca="false">IF(M56&gt;0,AVERAGE(J56:L56),"-")</f>
        <v>4148</v>
      </c>
      <c r="Q56" s="41" t="n">
        <f aca="false">IF(M56&gt;0,O56-G56,"-")</f>
        <v>212</v>
      </c>
      <c r="R56" s="42" t="n">
        <f aca="false">IF(M56&gt;0,IFERROR(Q56/O56,"-"),"-")</f>
        <v>0.0511089681774349</v>
      </c>
      <c r="S56" s="41" t="n">
        <f aca="false">IF(M56&gt;0,ROUND(MAX(G56*1.08,O56*0.97)/100,0)*100,ROUND(G56*1.12/100,0)*100)</f>
        <v>4300</v>
      </c>
      <c r="T56" s="42" t="n">
        <f aca="false">IFERROR((S56-G56)/S56,"-")</f>
        <v>0.0846511627906977</v>
      </c>
    </row>
    <row r="57" customFormat="false" ht="15" hidden="false" customHeight="false" outlineLevel="0" collapsed="false">
      <c r="A57" s="8" t="s">
        <v>409</v>
      </c>
      <c r="B57" s="8" t="s">
        <v>433</v>
      </c>
      <c r="C57" s="8" t="s">
        <v>434</v>
      </c>
      <c r="D57" s="8" t="s">
        <v>21</v>
      </c>
      <c r="E57" s="8" t="n">
        <v>19</v>
      </c>
      <c r="F57" s="38" t="n">
        <f aca="false">IFERROR(VALUE(SUBSTITUTE(SUBSTITUTE('MLBB INDOFLAZ'!E6,"Rp. ",""),".","")),'MLBB INDOFLAZ'!E6)</f>
        <v>5418</v>
      </c>
      <c r="G57" s="38" t="n">
        <f aca="false">IFERROR(VALUE(SUBSTITUTE(SUBSTITUTE('MLBB INDOFLAZ'!F6,"Rp. ",""),".","")),'MLBB INDOFLAZ'!F6)</f>
        <v>5366</v>
      </c>
      <c r="H57" s="38" t="n">
        <f aca="false">IFERROR(VALUE(SUBSTITUTE(SUBSTITUTE('MLBB INDOFLAZ'!G6,"Rp. ",""),".","")),'MLBB INDOFLAZ'!G6)</f>
        <v>5313</v>
      </c>
      <c r="I57" s="8" t="s">
        <v>2628</v>
      </c>
      <c r="J57" s="38" t="n">
        <f aca="false">'MLBB OURA STORE'!A18</f>
        <v>5606</v>
      </c>
      <c r="K57" s="38" t="str">
        <f aca="false">'MLBB EMPESHOP'!A20</f>
        <v>Rp 5.548,-</v>
      </c>
      <c r="L57" s="39"/>
      <c r="M57" s="8" t="n">
        <f aca="false">COUNT(J57:L57)</f>
        <v>1</v>
      </c>
      <c r="N57" s="40" t="str">
        <f aca="false">IF(M57&gt;0,"Ada","Tidak Ada")</f>
        <v>Ada</v>
      </c>
      <c r="O57" s="41" t="n">
        <f aca="false">IF(M57&gt;0,MIN(J57:L57),"-")</f>
        <v>5606</v>
      </c>
      <c r="P57" s="41" t="n">
        <f aca="false">IF(M57&gt;0,AVERAGE(J57:L57),"-")</f>
        <v>5606</v>
      </c>
      <c r="Q57" s="41" t="n">
        <f aca="false">IF(M57&gt;0,O57-G57,"-")</f>
        <v>240</v>
      </c>
      <c r="R57" s="42" t="n">
        <f aca="false">IF(M57&gt;0,IFERROR(Q57/O57,"-"),"-")</f>
        <v>0.0428112736353907</v>
      </c>
      <c r="S57" s="41" t="n">
        <f aca="false">IF(M57&gt;0,ROUND(MAX(G57*1.08,O57*0.97)/100,0)*100,ROUND(G57*1.12/100,0)*100)</f>
        <v>5800</v>
      </c>
      <c r="T57" s="42" t="n">
        <f aca="false">IFERROR((S57-G57)/S57,"-")</f>
        <v>0.0748275862068966</v>
      </c>
    </row>
    <row r="58" customFormat="false" ht="15" hidden="false" customHeight="false" outlineLevel="0" collapsed="false">
      <c r="A58" s="8" t="s">
        <v>409</v>
      </c>
      <c r="B58" s="8" t="s">
        <v>439</v>
      </c>
      <c r="C58" s="8" t="s">
        <v>440</v>
      </c>
      <c r="D58" s="8" t="s">
        <v>21</v>
      </c>
      <c r="E58" s="8" t="n">
        <v>36</v>
      </c>
      <c r="F58" s="38" t="n">
        <f aca="false">IFERROR(VALUE(SUBSTITUTE(SUBSTITUTE('MLBB INDOFLAZ'!E7,"Rp. ",""),".","")),'MLBB INDOFLAZ'!E7)</f>
        <v>9935</v>
      </c>
      <c r="G58" s="38" t="n">
        <f aca="false">IFERROR(VALUE(SUBSTITUTE(SUBSTITUTE('MLBB INDOFLAZ'!F7,"Rp. ",""),".","")),'MLBB INDOFLAZ'!F7)</f>
        <v>9838</v>
      </c>
      <c r="H58" s="38" t="n">
        <f aca="false">IFERROR(VALUE(SUBSTITUTE(SUBSTITUTE('MLBB INDOFLAZ'!G7,"Rp. ",""),".","")),'MLBB INDOFLAZ'!G7)</f>
        <v>9742</v>
      </c>
      <c r="I58" s="8" t="s">
        <v>2629</v>
      </c>
      <c r="J58" s="38" t="n">
        <f aca="false">'MLBB OURA STORE'!A30</f>
        <v>10367</v>
      </c>
      <c r="K58" s="39"/>
      <c r="L58" s="39"/>
      <c r="M58" s="8" t="n">
        <f aca="false">COUNT(J58:L58)</f>
        <v>1</v>
      </c>
      <c r="N58" s="40" t="str">
        <f aca="false">IF(M58&gt;0,"Ada","Tidak Ada")</f>
        <v>Ada</v>
      </c>
      <c r="O58" s="41" t="n">
        <f aca="false">IF(M58&gt;0,MIN(J58:L58),"-")</f>
        <v>10367</v>
      </c>
      <c r="P58" s="41" t="n">
        <f aca="false">IF(M58&gt;0,AVERAGE(J58:L58),"-")</f>
        <v>10367</v>
      </c>
      <c r="Q58" s="41" t="n">
        <f aca="false">IF(M58&gt;0,O58-G58,"-")</f>
        <v>529</v>
      </c>
      <c r="R58" s="42" t="n">
        <f aca="false">IF(M58&gt;0,IFERROR(Q58/O58,"-"),"-")</f>
        <v>0.0510272981576155</v>
      </c>
      <c r="S58" s="41" t="n">
        <f aca="false">IF(M58&gt;0,ROUND(MAX(G58*1.08,O58*0.97)/100,0)*100,ROUND(G58*1.12/100,0)*100)</f>
        <v>10600</v>
      </c>
      <c r="T58" s="42" t="n">
        <f aca="false">IFERROR((S58-G58)/S58,"-")</f>
        <v>0.0718867924528302</v>
      </c>
    </row>
    <row r="59" customFormat="false" ht="15" hidden="false" customHeight="false" outlineLevel="0" collapsed="false">
      <c r="A59" s="8" t="s">
        <v>409</v>
      </c>
      <c r="B59" s="8" t="s">
        <v>445</v>
      </c>
      <c r="C59" s="8" t="s">
        <v>446</v>
      </c>
      <c r="D59" s="8" t="s">
        <v>21</v>
      </c>
      <c r="E59" s="8" t="n">
        <v>46</v>
      </c>
      <c r="F59" s="38" t="n">
        <f aca="false">IFERROR(VALUE(SUBSTITUTE(SUBSTITUTE('MLBB INDOFLAZ'!E8,"Rp. ",""),".","")),'MLBB INDOFLAZ'!E8)</f>
        <v>12889</v>
      </c>
      <c r="G59" s="38" t="n">
        <f aca="false">IFERROR(VALUE(SUBSTITUTE(SUBSTITUTE('MLBB INDOFLAZ'!F8,"Rp. ",""),".","")),'MLBB INDOFLAZ'!F8)</f>
        <v>12764</v>
      </c>
      <c r="H59" s="38" t="n">
        <f aca="false">IFERROR(VALUE(SUBSTITUTE(SUBSTITUTE('MLBB INDOFLAZ'!G8,"Rp. ",""),".","")),'MLBB INDOFLAZ'!G8)</f>
        <v>12639</v>
      </c>
      <c r="I59" s="8" t="s">
        <v>2629</v>
      </c>
      <c r="J59" s="38" t="n">
        <f aca="false">'MLBB OURA STORE'!A36</f>
        <v>13477</v>
      </c>
      <c r="K59" s="39"/>
      <c r="L59" s="39"/>
      <c r="M59" s="8" t="n">
        <f aca="false">COUNT(J59:L59)</f>
        <v>1</v>
      </c>
      <c r="N59" s="40" t="str">
        <f aca="false">IF(M59&gt;0,"Ada","Tidak Ada")</f>
        <v>Ada</v>
      </c>
      <c r="O59" s="41" t="n">
        <f aca="false">IF(M59&gt;0,MIN(J59:L59),"-")</f>
        <v>13477</v>
      </c>
      <c r="P59" s="41" t="n">
        <f aca="false">IF(M59&gt;0,AVERAGE(J59:L59),"-")</f>
        <v>13477</v>
      </c>
      <c r="Q59" s="41" t="n">
        <f aca="false">IF(M59&gt;0,O59-G59,"-")</f>
        <v>713</v>
      </c>
      <c r="R59" s="42" t="n">
        <f aca="false">IF(M59&gt;0,IFERROR(Q59/O59,"-"),"-")</f>
        <v>0.0529049491726645</v>
      </c>
      <c r="S59" s="41" t="n">
        <f aca="false">IF(M59&gt;0,ROUND(MAX(G59*1.08,O59*0.97)/100,0)*100,ROUND(G59*1.12/100,0)*100)</f>
        <v>13800</v>
      </c>
      <c r="T59" s="42" t="n">
        <f aca="false">IFERROR((S59-G59)/S59,"-")</f>
        <v>0.0750724637681159</v>
      </c>
    </row>
    <row r="60" customFormat="false" ht="15" hidden="false" customHeight="false" outlineLevel="0" collapsed="false">
      <c r="A60" s="8" t="s">
        <v>409</v>
      </c>
      <c r="B60" s="8" t="s">
        <v>451</v>
      </c>
      <c r="C60" s="8" t="s">
        <v>452</v>
      </c>
      <c r="D60" s="8" t="s">
        <v>21</v>
      </c>
      <c r="E60" s="8" t="n">
        <v>54</v>
      </c>
      <c r="F60" s="38" t="n">
        <f aca="false">IFERROR(VALUE(SUBSTITUTE(SUBSTITUTE('MLBB INDOFLAZ'!E9,"Rp. ",""),".","")),'MLBB INDOFLAZ'!E9)</f>
        <v>14902</v>
      </c>
      <c r="G60" s="38" t="n">
        <f aca="false">IFERROR(VALUE(SUBSTITUTE(SUBSTITUTE('MLBB INDOFLAZ'!F9,"Rp. ",""),".","")),'MLBB INDOFLAZ'!F9)</f>
        <v>14757</v>
      </c>
      <c r="H60" s="38" t="n">
        <f aca="false">IFERROR(VALUE(SUBSTITUTE(SUBSTITUTE('MLBB INDOFLAZ'!G9,"Rp. ",""),".","")),'MLBB INDOFLAZ'!G9)</f>
        <v>14612</v>
      </c>
      <c r="I60" s="8" t="s">
        <v>2629</v>
      </c>
      <c r="J60" s="38" t="n">
        <f aca="false">'MLBB OURA STORE'!A40</f>
        <v>15339</v>
      </c>
      <c r="K60" s="39"/>
      <c r="L60" s="39"/>
      <c r="M60" s="8" t="n">
        <f aca="false">COUNT(J60:L60)</f>
        <v>1</v>
      </c>
      <c r="N60" s="40" t="str">
        <f aca="false">IF(M60&gt;0,"Ada","Tidak Ada")</f>
        <v>Ada</v>
      </c>
      <c r="O60" s="41" t="n">
        <f aca="false">IF(M60&gt;0,MIN(J60:L60),"-")</f>
        <v>15339</v>
      </c>
      <c r="P60" s="41" t="n">
        <f aca="false">IF(M60&gt;0,AVERAGE(J60:L60),"-")</f>
        <v>15339</v>
      </c>
      <c r="Q60" s="41" t="n">
        <f aca="false">IF(M60&gt;0,O60-G60,"-")</f>
        <v>582</v>
      </c>
      <c r="R60" s="42" t="n">
        <f aca="false">IF(M60&gt;0,IFERROR(Q60/O60,"-"),"-")</f>
        <v>0.0379424995110503</v>
      </c>
      <c r="S60" s="41" t="n">
        <f aca="false">IF(M60&gt;0,ROUND(MAX(G60*1.08,O60*0.97)/100,0)*100,ROUND(G60*1.12/100,0)*100)</f>
        <v>15900</v>
      </c>
      <c r="T60" s="42" t="n">
        <f aca="false">IFERROR((S60-G60)/S60,"-")</f>
        <v>0.0718867924528302</v>
      </c>
    </row>
    <row r="61" customFormat="false" ht="15" hidden="false" customHeight="false" outlineLevel="0" collapsed="false">
      <c r="A61" s="8" t="s">
        <v>409</v>
      </c>
      <c r="B61" s="8" t="s">
        <v>457</v>
      </c>
      <c r="C61" s="8" t="s">
        <v>458</v>
      </c>
      <c r="D61" s="8" t="s">
        <v>21</v>
      </c>
      <c r="E61" s="8" t="n">
        <v>71</v>
      </c>
      <c r="F61" s="38" t="n">
        <f aca="false">IFERROR(VALUE(SUBSTITUTE(SUBSTITUTE('MLBB INDOFLAZ'!E10,"Rp. ",""),".","")),'MLBB INDOFLAZ'!E10)</f>
        <v>19211</v>
      </c>
      <c r="G61" s="38" t="n">
        <f aca="false">IFERROR(VALUE(SUBSTITUTE(SUBSTITUTE('MLBB INDOFLAZ'!F10,"Rp. ",""),".","")),'MLBB INDOFLAZ'!F10)</f>
        <v>19025</v>
      </c>
      <c r="H61" s="38" t="n">
        <f aca="false">IFERROR(VALUE(SUBSTITUTE(SUBSTITUTE('MLBB INDOFLAZ'!G10,"Rp. ",""),".","")),'MLBB INDOFLAZ'!G10)</f>
        <v>18838</v>
      </c>
      <c r="I61" s="8" t="s">
        <v>2629</v>
      </c>
      <c r="J61" s="38" t="n">
        <f aca="false">'MLBB OURA STORE'!A52</f>
        <v>19871</v>
      </c>
      <c r="K61" s="39"/>
      <c r="L61" s="39"/>
      <c r="M61" s="8" t="n">
        <f aca="false">COUNT(J61:L61)</f>
        <v>1</v>
      </c>
      <c r="N61" s="40" t="str">
        <f aca="false">IF(M61&gt;0,"Ada","Tidak Ada")</f>
        <v>Ada</v>
      </c>
      <c r="O61" s="41" t="n">
        <f aca="false">IF(M61&gt;0,MIN(J61:L61),"-")</f>
        <v>19871</v>
      </c>
      <c r="P61" s="41" t="n">
        <f aca="false">IF(M61&gt;0,AVERAGE(J61:L61),"-")</f>
        <v>19871</v>
      </c>
      <c r="Q61" s="41" t="n">
        <f aca="false">IF(M61&gt;0,O61-G61,"-")</f>
        <v>846</v>
      </c>
      <c r="R61" s="42" t="n">
        <f aca="false">IF(M61&gt;0,IFERROR(Q61/O61,"-"),"-")</f>
        <v>0.0425746062100549</v>
      </c>
      <c r="S61" s="41" t="n">
        <f aca="false">IF(M61&gt;0,ROUND(MAX(G61*1.08,O61*0.97)/100,0)*100,ROUND(G61*1.12/100,0)*100)</f>
        <v>20500</v>
      </c>
      <c r="T61" s="42" t="n">
        <f aca="false">IFERROR((S61-G61)/S61,"-")</f>
        <v>0.0719512195121951</v>
      </c>
    </row>
    <row r="62" customFormat="false" ht="15" hidden="false" customHeight="false" outlineLevel="0" collapsed="false">
      <c r="A62" s="8" t="s">
        <v>409</v>
      </c>
      <c r="B62" s="8" t="s">
        <v>463</v>
      </c>
      <c r="C62" s="8" t="s">
        <v>464</v>
      </c>
      <c r="D62" s="8" t="s">
        <v>21</v>
      </c>
      <c r="E62" s="8" t="n">
        <v>74</v>
      </c>
      <c r="F62" s="38" t="n">
        <f aca="false">IFERROR(VALUE(SUBSTITUTE(SUBSTITUTE('MLBB INDOFLAZ'!E11,"Rp. ",""),".","")),'MLBB INDOFLAZ'!E11)</f>
        <v>19867</v>
      </c>
      <c r="G62" s="38" t="n">
        <f aca="false">IFERROR(VALUE(SUBSTITUTE(SUBSTITUTE('MLBB INDOFLAZ'!F11,"Rp. ",""),".","")),'MLBB INDOFLAZ'!F11)</f>
        <v>19674</v>
      </c>
      <c r="H62" s="38" t="n">
        <f aca="false">IFERROR(VALUE(SUBSTITUTE(SUBSTITUTE('MLBB INDOFLAZ'!G11,"Rp. ",""),".","")),'MLBB INDOFLAZ'!G11)</f>
        <v>19481</v>
      </c>
      <c r="I62" s="8" t="s">
        <v>2629</v>
      </c>
      <c r="J62" s="38" t="n">
        <f aca="false">'MLBB OURA STORE'!A54</f>
        <v>20732</v>
      </c>
      <c r="K62" s="39"/>
      <c r="L62" s="39"/>
      <c r="M62" s="8" t="n">
        <f aca="false">COUNT(J62:L62)</f>
        <v>1</v>
      </c>
      <c r="N62" s="40" t="str">
        <f aca="false">IF(M62&gt;0,"Ada","Tidak Ada")</f>
        <v>Ada</v>
      </c>
      <c r="O62" s="41" t="n">
        <f aca="false">IF(M62&gt;0,MIN(J62:L62),"-")</f>
        <v>20732</v>
      </c>
      <c r="P62" s="41" t="n">
        <f aca="false">IF(M62&gt;0,AVERAGE(J62:L62),"-")</f>
        <v>20732</v>
      </c>
      <c r="Q62" s="41" t="n">
        <f aca="false">IF(M62&gt;0,O62-G62,"-")</f>
        <v>1058</v>
      </c>
      <c r="R62" s="42" t="n">
        <f aca="false">IF(M62&gt;0,IFERROR(Q62/O62,"-"),"-")</f>
        <v>0.0510322207215898</v>
      </c>
      <c r="S62" s="41" t="n">
        <f aca="false">IF(M62&gt;0,ROUND(MAX(G62*1.08,O62*0.97)/100,0)*100,ROUND(G62*1.12/100,0)*100)</f>
        <v>21200</v>
      </c>
      <c r="T62" s="42" t="n">
        <f aca="false">IFERROR((S62-G62)/S62,"-")</f>
        <v>0.0719811320754717</v>
      </c>
    </row>
    <row r="63" customFormat="false" ht="15" hidden="false" customHeight="false" outlineLevel="0" collapsed="false">
      <c r="A63" s="8" t="s">
        <v>409</v>
      </c>
      <c r="B63" s="8" t="s">
        <v>469</v>
      </c>
      <c r="C63" s="8" t="s">
        <v>470</v>
      </c>
      <c r="D63" s="8" t="s">
        <v>21</v>
      </c>
      <c r="E63" s="8" t="n">
        <v>85</v>
      </c>
      <c r="F63" s="38" t="n">
        <f aca="false">IFERROR(VALUE(SUBSTITUTE(SUBSTITUTE('MLBB INDOFLAZ'!E12,"Rp. ",""),".","")),'MLBB INDOFLAZ'!E12)</f>
        <v>22659</v>
      </c>
      <c r="G63" s="38" t="n">
        <f aca="false">IFERROR(VALUE(SUBSTITUTE(SUBSTITUTE('MLBB INDOFLAZ'!F12,"Rp. ",""),".","")),'MLBB INDOFLAZ'!F12)</f>
        <v>22439</v>
      </c>
      <c r="H63" s="38" t="n">
        <f aca="false">IFERROR(VALUE(SUBSTITUTE(SUBSTITUTE('MLBB INDOFLAZ'!G12,"Rp. ",""),".","")),'MLBB INDOFLAZ'!G12)</f>
        <v>22219</v>
      </c>
      <c r="I63" s="8" t="s">
        <v>2628</v>
      </c>
      <c r="J63" s="38" t="n">
        <f aca="false">'MLBB OURA STORE'!A60</f>
        <v>23439</v>
      </c>
      <c r="K63" s="38" t="str">
        <f aca="false">'MLBB EMPESHOP'!A26</f>
        <v>Rp 23.217,-</v>
      </c>
      <c r="L63" s="39"/>
      <c r="M63" s="8" t="n">
        <f aca="false">COUNT(J63:L63)</f>
        <v>1</v>
      </c>
      <c r="N63" s="40" t="str">
        <f aca="false">IF(M63&gt;0,"Ada","Tidak Ada")</f>
        <v>Ada</v>
      </c>
      <c r="O63" s="41" t="n">
        <f aca="false">IF(M63&gt;0,MIN(J63:L63),"-")</f>
        <v>23439</v>
      </c>
      <c r="P63" s="41" t="n">
        <f aca="false">IF(M63&gt;0,AVERAGE(J63:L63),"-")</f>
        <v>23439</v>
      </c>
      <c r="Q63" s="41" t="n">
        <f aca="false">IF(M63&gt;0,O63-G63,"-")</f>
        <v>1000</v>
      </c>
      <c r="R63" s="42" t="n">
        <f aca="false">IF(M63&gt;0,IFERROR(Q63/O63,"-"),"-")</f>
        <v>0.0426639361747515</v>
      </c>
      <c r="S63" s="41" t="n">
        <f aca="false">IF(M63&gt;0,ROUND(MAX(G63*1.08,O63*0.97)/100,0)*100,ROUND(G63*1.12/100,0)*100)</f>
        <v>24200</v>
      </c>
      <c r="T63" s="42" t="n">
        <f aca="false">IFERROR((S63-G63)/S63,"-")</f>
        <v>0.0727685950413223</v>
      </c>
    </row>
    <row r="64" customFormat="false" ht="15" hidden="false" customHeight="false" outlineLevel="0" collapsed="false">
      <c r="A64" s="8" t="s">
        <v>409</v>
      </c>
      <c r="B64" s="8" t="s">
        <v>475</v>
      </c>
      <c r="C64" s="8" t="s">
        <v>476</v>
      </c>
      <c r="D64" s="8" t="s">
        <v>21</v>
      </c>
      <c r="E64" s="8" t="n">
        <v>88</v>
      </c>
      <c r="F64" s="38" t="n">
        <f aca="false">IFERROR(VALUE(SUBSTITUTE(SUBSTITUTE('MLBB INDOFLAZ'!E13,"Rp. ",""),".","")),'MLBB INDOFLAZ'!E13)</f>
        <v>23841</v>
      </c>
      <c r="G64" s="38" t="n">
        <f aca="false">IFERROR(VALUE(SUBSTITUTE(SUBSTITUTE('MLBB INDOFLAZ'!F13,"Rp. ",""),".","")),'MLBB INDOFLAZ'!F13)</f>
        <v>23609</v>
      </c>
      <c r="H64" s="38" t="n">
        <f aca="false">IFERROR(VALUE(SUBSTITUTE(SUBSTITUTE('MLBB INDOFLAZ'!G13,"Rp. ",""),".","")),'MLBB INDOFLAZ'!G13)</f>
        <v>23378</v>
      </c>
      <c r="I64" s="8" t="s">
        <v>2629</v>
      </c>
      <c r="J64" s="38" t="n">
        <f aca="false">'MLBB OURA STORE'!A62</f>
        <v>24879</v>
      </c>
      <c r="K64" s="39"/>
      <c r="L64" s="39"/>
      <c r="M64" s="8" t="n">
        <f aca="false">COUNT(J64:L64)</f>
        <v>1</v>
      </c>
      <c r="N64" s="40" t="str">
        <f aca="false">IF(M64&gt;0,"Ada","Tidak Ada")</f>
        <v>Ada</v>
      </c>
      <c r="O64" s="41" t="n">
        <f aca="false">IF(M64&gt;0,MIN(J64:L64),"-")</f>
        <v>24879</v>
      </c>
      <c r="P64" s="41" t="n">
        <f aca="false">IF(M64&gt;0,AVERAGE(J64:L64),"-")</f>
        <v>24879</v>
      </c>
      <c r="Q64" s="41" t="n">
        <f aca="false">IF(M64&gt;0,O64-G64,"-")</f>
        <v>1270</v>
      </c>
      <c r="R64" s="42" t="n">
        <f aca="false">IF(M64&gt;0,IFERROR(Q64/O64,"-"),"-")</f>
        <v>0.0510470678081917</v>
      </c>
      <c r="S64" s="41" t="n">
        <f aca="false">IF(M64&gt;0,ROUND(MAX(G64*1.08,O64*0.97)/100,0)*100,ROUND(G64*1.12/100,0)*100)</f>
        <v>25500</v>
      </c>
      <c r="T64" s="42" t="n">
        <f aca="false">IFERROR((S64-G64)/S64,"-")</f>
        <v>0.074156862745098</v>
      </c>
    </row>
    <row r="65" customFormat="false" ht="15" hidden="false" customHeight="false" outlineLevel="0" collapsed="false">
      <c r="A65" s="8" t="s">
        <v>409</v>
      </c>
      <c r="B65" s="8" t="s">
        <v>481</v>
      </c>
      <c r="C65" s="8" t="s">
        <v>482</v>
      </c>
      <c r="D65" s="8" t="s">
        <v>21</v>
      </c>
      <c r="E65" s="8"/>
      <c r="F65" s="38" t="n">
        <f aca="false">IFERROR(VALUE(SUBSTITUTE(SUBSTITUTE('MLBB INDOFLAZ'!E14,"Rp. ",""),".","")),'MLBB INDOFLAZ'!E14)</f>
        <v>27650</v>
      </c>
      <c r="G65" s="38" t="n">
        <f aca="false">IFERROR(VALUE(SUBSTITUTE(SUBSTITUTE('MLBB INDOFLAZ'!F14,"Rp. ",""),".","")),'MLBB INDOFLAZ'!F14)</f>
        <v>27600</v>
      </c>
      <c r="H65" s="38" t="n">
        <f aca="false">IFERROR(VALUE(SUBSTITUTE(SUBSTITUTE('MLBB INDOFLAZ'!G14,"Rp. ",""),".","")),'MLBB INDOFLAZ'!G14)</f>
        <v>27500</v>
      </c>
      <c r="I65" s="8" t="s">
        <v>2625</v>
      </c>
      <c r="J65" s="39"/>
      <c r="K65" s="39"/>
      <c r="L65" s="39"/>
      <c r="M65" s="8" t="n">
        <f aca="false">COUNT(J65:L65)</f>
        <v>0</v>
      </c>
      <c r="N65" s="40" t="str">
        <f aca="false">IF(M65&gt;0,"Ada","Tidak Ada")</f>
        <v>Tidak Ada</v>
      </c>
      <c r="O65" s="41" t="str">
        <f aca="false">IF(M65&gt;0,MIN(J65:L65),"-")</f>
        <v>-</v>
      </c>
      <c r="P65" s="41" t="str">
        <f aca="false">IF(M65&gt;0,AVERAGE(J65:L65),"-")</f>
        <v>-</v>
      </c>
      <c r="Q65" s="41" t="str">
        <f aca="false">IF(M65&gt;0,O65-G65,"-")</f>
        <v>-</v>
      </c>
      <c r="R65" s="42" t="str">
        <f aca="false">IF(M65&gt;0,IFERROR(Q65/O65,"-"),"-")</f>
        <v>-</v>
      </c>
      <c r="S65" s="41" t="n">
        <f aca="false">IF(M65&gt;0,ROUND(MAX(G65*1.08,O65*0.97)/100,0)*100,ROUND(G65*1.12/100,0)*100)</f>
        <v>30900</v>
      </c>
      <c r="T65" s="42" t="n">
        <f aca="false">IFERROR((S65-G65)/S65,"-")</f>
        <v>0.106796116504854</v>
      </c>
    </row>
    <row r="66" customFormat="false" ht="15" hidden="false" customHeight="false" outlineLevel="0" collapsed="false">
      <c r="A66" s="8" t="s">
        <v>409</v>
      </c>
      <c r="B66" s="8" t="s">
        <v>487</v>
      </c>
      <c r="C66" s="8" t="s">
        <v>488</v>
      </c>
      <c r="D66" s="8" t="s">
        <v>21</v>
      </c>
      <c r="E66" s="8" t="n">
        <v>110</v>
      </c>
      <c r="F66" s="38" t="n">
        <f aca="false">IFERROR(VALUE(SUBSTITUTE(SUBSTITUTE('MLBB INDOFLAZ'!E15,"Rp. ",""),".","")),'MLBB INDOFLAZ'!E15)</f>
        <v>29801</v>
      </c>
      <c r="G66" s="38" t="n">
        <f aca="false">IFERROR(VALUE(SUBSTITUTE(SUBSTITUTE('MLBB INDOFLAZ'!F15,"Rp. ",""),".","")),'MLBB INDOFLAZ'!F15)</f>
        <v>29512</v>
      </c>
      <c r="H66" s="38" t="n">
        <f aca="false">IFERROR(VALUE(SUBSTITUTE(SUBSTITUTE('MLBB INDOFLAZ'!G15,"Rp. ",""),".","")),'MLBB INDOFLAZ'!G15)</f>
        <v>29223</v>
      </c>
      <c r="I66" s="8" t="s">
        <v>2629</v>
      </c>
      <c r="J66" s="38" t="n">
        <f aca="false">'MLBB OURA STORE'!A72</f>
        <v>31098</v>
      </c>
      <c r="K66" s="39"/>
      <c r="L66" s="39"/>
      <c r="M66" s="8" t="n">
        <f aca="false">COUNT(J66:L66)</f>
        <v>1</v>
      </c>
      <c r="N66" s="40" t="str">
        <f aca="false">IF(M66&gt;0,"Ada","Tidak Ada")</f>
        <v>Ada</v>
      </c>
      <c r="O66" s="41" t="n">
        <f aca="false">IF(M66&gt;0,MIN(J66:L66),"-")</f>
        <v>31098</v>
      </c>
      <c r="P66" s="41" t="n">
        <f aca="false">IF(M66&gt;0,AVERAGE(J66:L66),"-")</f>
        <v>31098</v>
      </c>
      <c r="Q66" s="41" t="n">
        <f aca="false">IF(M66&gt;0,O66-G66,"-")</f>
        <v>1586</v>
      </c>
      <c r="R66" s="42" t="n">
        <f aca="false">IF(M66&gt;0,IFERROR(Q66/O66,"-"),"-")</f>
        <v>0.0510000643128176</v>
      </c>
      <c r="S66" s="41" t="n">
        <f aca="false">IF(M66&gt;0,ROUND(MAX(G66*1.08,O66*0.97)/100,0)*100,ROUND(G66*1.12/100,0)*100)</f>
        <v>31900</v>
      </c>
      <c r="T66" s="42" t="n">
        <f aca="false">IFERROR((S66-G66)/S66,"-")</f>
        <v>0.074858934169279</v>
      </c>
    </row>
    <row r="67" customFormat="false" ht="15" hidden="false" customHeight="false" outlineLevel="0" collapsed="false">
      <c r="A67" s="8" t="s">
        <v>409</v>
      </c>
      <c r="B67" s="8" t="s">
        <v>493</v>
      </c>
      <c r="C67" s="8" t="s">
        <v>494</v>
      </c>
      <c r="D67" s="8" t="s">
        <v>21</v>
      </c>
      <c r="E67" s="8" t="n">
        <v>113</v>
      </c>
      <c r="F67" s="38" t="n">
        <f aca="false">IFERROR(VALUE(SUBSTITUTE(SUBSTITUTE('MLBB INDOFLAZ'!E16,"Rp. ",""),".","")),'MLBB INDOFLAZ'!E16)</f>
        <v>30541</v>
      </c>
      <c r="G67" s="38" t="n">
        <f aca="false">IFERROR(VALUE(SUBSTITUTE(SUBSTITUTE('MLBB INDOFLAZ'!F16,"Rp. ",""),".","")),'MLBB INDOFLAZ'!F16)</f>
        <v>30245</v>
      </c>
      <c r="H67" s="38" t="n">
        <f aca="false">IFERROR(VALUE(SUBSTITUTE(SUBSTITUTE('MLBB INDOFLAZ'!G16,"Rp. ",""),".","")),'MLBB INDOFLAZ'!G16)</f>
        <v>29948</v>
      </c>
      <c r="I67" s="8" t="s">
        <v>2629</v>
      </c>
      <c r="J67" s="38" t="n">
        <f aca="false">'MLBB OURA STORE'!A74</f>
        <v>31591</v>
      </c>
      <c r="K67" s="39"/>
      <c r="L67" s="39"/>
      <c r="M67" s="8" t="n">
        <f aca="false">COUNT(J67:L67)</f>
        <v>1</v>
      </c>
      <c r="N67" s="40" t="str">
        <f aca="false">IF(M67&gt;0,"Ada","Tidak Ada")</f>
        <v>Ada</v>
      </c>
      <c r="O67" s="41" t="n">
        <f aca="false">IF(M67&gt;0,MIN(J67:L67),"-")</f>
        <v>31591</v>
      </c>
      <c r="P67" s="41" t="n">
        <f aca="false">IF(M67&gt;0,AVERAGE(J67:L67),"-")</f>
        <v>31591</v>
      </c>
      <c r="Q67" s="41" t="n">
        <f aca="false">IF(M67&gt;0,O67-G67,"-")</f>
        <v>1346</v>
      </c>
      <c r="R67" s="42" t="n">
        <f aca="false">IF(M67&gt;0,IFERROR(Q67/O67,"-"),"-")</f>
        <v>0.0426070716343262</v>
      </c>
      <c r="S67" s="41" t="n">
        <f aca="false">IF(M67&gt;0,ROUND(MAX(G67*1.08,O67*0.97)/100,0)*100,ROUND(G67*1.12/100,0)*100)</f>
        <v>32700</v>
      </c>
      <c r="T67" s="42" t="n">
        <f aca="false">IFERROR((S67-G67)/S67,"-")</f>
        <v>0.0750764525993884</v>
      </c>
    </row>
    <row r="68" customFormat="false" ht="15" hidden="false" customHeight="false" outlineLevel="0" collapsed="false">
      <c r="A68" s="8" t="s">
        <v>409</v>
      </c>
      <c r="B68" s="8" t="s">
        <v>498</v>
      </c>
      <c r="C68" s="8" t="s">
        <v>499</v>
      </c>
      <c r="D68" s="8" t="s">
        <v>21</v>
      </c>
      <c r="E68" s="8" t="n">
        <v>128</v>
      </c>
      <c r="F68" s="38" t="n">
        <f aca="false">IFERROR(VALUE(SUBSTITUTE(SUBSTITUTE('MLBB INDOFLAZ'!E17,"Rp. ",""),".","")),'MLBB INDOFLAZ'!E17)</f>
        <v>34768</v>
      </c>
      <c r="G68" s="38" t="n">
        <f aca="false">IFERROR(VALUE(SUBSTITUTE(SUBSTITUTE('MLBB INDOFLAZ'!F17,"Rp. ",""),".","")),'MLBB INDOFLAZ'!F17)</f>
        <v>34431</v>
      </c>
      <c r="H68" s="38" t="n">
        <f aca="false">IFERROR(VALUE(SUBSTITUTE(SUBSTITUTE('MLBB INDOFLAZ'!G17,"Rp. ",""),".","")),'MLBB INDOFLAZ'!G17)</f>
        <v>34093</v>
      </c>
      <c r="I68" s="8" t="s">
        <v>2625</v>
      </c>
      <c r="J68" s="39"/>
      <c r="K68" s="39"/>
      <c r="L68" s="39"/>
      <c r="M68" s="8" t="n">
        <f aca="false">COUNT(J68:L68)</f>
        <v>0</v>
      </c>
      <c r="N68" s="40" t="str">
        <f aca="false">IF(M68&gt;0,"Ada","Tidak Ada")</f>
        <v>Tidak Ada</v>
      </c>
      <c r="O68" s="41" t="str">
        <f aca="false">IF(M68&gt;0,MIN(J68:L68),"-")</f>
        <v>-</v>
      </c>
      <c r="P68" s="41" t="str">
        <f aca="false">IF(M68&gt;0,AVERAGE(J68:L68),"-")</f>
        <v>-</v>
      </c>
      <c r="Q68" s="41" t="str">
        <f aca="false">IF(M68&gt;0,O68-G68,"-")</f>
        <v>-</v>
      </c>
      <c r="R68" s="42" t="str">
        <f aca="false">IF(M68&gt;0,IFERROR(Q68/O68,"-"),"-")</f>
        <v>-</v>
      </c>
      <c r="S68" s="41" t="n">
        <f aca="false">IF(M68&gt;0,ROUND(MAX(G68*1.08,O68*0.97)/100,0)*100,ROUND(G68*1.12/100,0)*100)</f>
        <v>38600</v>
      </c>
      <c r="T68" s="42" t="n">
        <f aca="false">IFERROR((S68-G68)/S68,"-")</f>
        <v>0.10800518134715</v>
      </c>
    </row>
    <row r="69" customFormat="false" ht="15" hidden="false" customHeight="false" outlineLevel="0" collapsed="false">
      <c r="A69" s="8" t="s">
        <v>409</v>
      </c>
      <c r="B69" s="8" t="s">
        <v>504</v>
      </c>
      <c r="C69" s="8" t="s">
        <v>505</v>
      </c>
      <c r="D69" s="8" t="s">
        <v>21</v>
      </c>
      <c r="E69" s="8" t="n">
        <v>148</v>
      </c>
      <c r="F69" s="38" t="n">
        <f aca="false">IFERROR(VALUE(SUBSTITUTE(SUBSTITUTE('MLBB INDOFLAZ'!E18,"Rp. ",""),".","")),'MLBB INDOFLAZ'!E18)</f>
        <v>39734</v>
      </c>
      <c r="G69" s="38" t="n">
        <f aca="false">IFERROR(VALUE(SUBSTITUTE(SUBSTITUTE('MLBB INDOFLAZ'!F18,"Rp. ",""),".","")),'MLBB INDOFLAZ'!F18)</f>
        <v>39348</v>
      </c>
      <c r="H69" s="38" t="n">
        <f aca="false">IFERROR(VALUE(SUBSTITUTE(SUBSTITUTE('MLBB INDOFLAZ'!G18,"Rp. ",""),".","")),'MLBB INDOFLAZ'!G18)</f>
        <v>38962</v>
      </c>
      <c r="I69" s="8" t="s">
        <v>2629</v>
      </c>
      <c r="J69" s="38" t="n">
        <f aca="false">'MLBB OURA STORE'!A80</f>
        <v>41463</v>
      </c>
      <c r="K69" s="39"/>
      <c r="L69" s="39"/>
      <c r="M69" s="8" t="n">
        <f aca="false">COUNT(J69:L69)</f>
        <v>1</v>
      </c>
      <c r="N69" s="40" t="str">
        <f aca="false">IF(M69&gt;0,"Ada","Tidak Ada")</f>
        <v>Ada</v>
      </c>
      <c r="O69" s="41" t="n">
        <f aca="false">IF(M69&gt;0,MIN(J69:L69),"-")</f>
        <v>41463</v>
      </c>
      <c r="P69" s="41" t="n">
        <f aca="false">IF(M69&gt;0,AVERAGE(J69:L69),"-")</f>
        <v>41463</v>
      </c>
      <c r="Q69" s="41" t="n">
        <f aca="false">IF(M69&gt;0,O69-G69,"-")</f>
        <v>2115</v>
      </c>
      <c r="R69" s="42" t="n">
        <f aca="false">IF(M69&gt;0,IFERROR(Q69/O69,"-"),"-")</f>
        <v>0.051009333622748</v>
      </c>
      <c r="S69" s="41" t="n">
        <f aca="false">IF(M69&gt;0,ROUND(MAX(G69*1.08,O69*0.97)/100,0)*100,ROUND(G69*1.12/100,0)*100)</f>
        <v>42500</v>
      </c>
      <c r="T69" s="42" t="n">
        <f aca="false">IFERROR((S69-G69)/S69,"-")</f>
        <v>0.0741647058823529</v>
      </c>
    </row>
    <row r="70" customFormat="false" ht="15" hidden="false" customHeight="false" outlineLevel="0" collapsed="false">
      <c r="A70" s="8" t="s">
        <v>409</v>
      </c>
      <c r="B70" s="8" t="s">
        <v>510</v>
      </c>
      <c r="C70" s="8" t="s">
        <v>511</v>
      </c>
      <c r="D70" s="8" t="s">
        <v>21</v>
      </c>
      <c r="E70" s="8" t="n">
        <v>176</v>
      </c>
      <c r="F70" s="38" t="n">
        <f aca="false">IFERROR(VALUE(SUBSTITUTE(SUBSTITUTE('MLBB INDOFLAZ'!E19,"Rp. ",""),".","")),'MLBB INDOFLAZ'!E19)</f>
        <v>47680</v>
      </c>
      <c r="G70" s="38" t="n">
        <f aca="false">IFERROR(VALUE(SUBSTITUTE(SUBSTITUTE('MLBB INDOFLAZ'!F19,"Rp. ",""),".","")),'MLBB INDOFLAZ'!F19)</f>
        <v>47217</v>
      </c>
      <c r="H70" s="38" t="n">
        <f aca="false">IFERROR(VALUE(SUBSTITUTE(SUBSTITUTE('MLBB INDOFLAZ'!G19,"Rp. ",""),".","")),'MLBB INDOFLAZ'!G19)</f>
        <v>46754</v>
      </c>
      <c r="I70" s="8" t="s">
        <v>2629</v>
      </c>
      <c r="J70" s="38" t="n">
        <f aca="false">'MLBB OURA STORE'!A84</f>
        <v>49758</v>
      </c>
      <c r="K70" s="39"/>
      <c r="L70" s="39"/>
      <c r="M70" s="8" t="n">
        <f aca="false">COUNT(J70:L70)</f>
        <v>1</v>
      </c>
      <c r="N70" s="40" t="str">
        <f aca="false">IF(M70&gt;0,"Ada","Tidak Ada")</f>
        <v>Ada</v>
      </c>
      <c r="O70" s="41" t="n">
        <f aca="false">IF(M70&gt;0,MIN(J70:L70),"-")</f>
        <v>49758</v>
      </c>
      <c r="P70" s="41" t="n">
        <f aca="false">IF(M70&gt;0,AVERAGE(J70:L70),"-")</f>
        <v>49758</v>
      </c>
      <c r="Q70" s="41" t="n">
        <f aca="false">IF(M70&gt;0,O70-G70,"-")</f>
        <v>2541</v>
      </c>
      <c r="R70" s="42" t="n">
        <f aca="false">IF(M70&gt;0,IFERROR(Q70/O70,"-"),"-")</f>
        <v>0.0510671650789823</v>
      </c>
      <c r="S70" s="41" t="n">
        <f aca="false">IF(M70&gt;0,ROUND(MAX(G70*1.08,O70*0.97)/100,0)*100,ROUND(G70*1.12/100,0)*100)</f>
        <v>51000</v>
      </c>
      <c r="T70" s="42" t="n">
        <f aca="false">IFERROR((S70-G70)/S70,"-")</f>
        <v>0.0741764705882353</v>
      </c>
    </row>
    <row r="71" customFormat="false" ht="15" hidden="false" customHeight="false" outlineLevel="0" collapsed="false">
      <c r="A71" s="8" t="s">
        <v>409</v>
      </c>
      <c r="B71" s="8" t="s">
        <v>516</v>
      </c>
      <c r="C71" s="8" t="s">
        <v>517</v>
      </c>
      <c r="D71" s="8" t="s">
        <v>21</v>
      </c>
      <c r="E71" s="8" t="n">
        <v>184</v>
      </c>
      <c r="F71" s="38" t="n">
        <f aca="false">IFERROR(VALUE(SUBSTITUTE(SUBSTITUTE('MLBB INDOFLAZ'!E20,"Rp. ",""),".","")),'MLBB INDOFLAZ'!E20)</f>
        <v>49668</v>
      </c>
      <c r="G71" s="38" t="n">
        <f aca="false">IFERROR(VALUE(SUBSTITUTE(SUBSTITUTE('MLBB INDOFLAZ'!F20,"Rp. ",""),".","")),'MLBB INDOFLAZ'!F20)</f>
        <v>49186</v>
      </c>
      <c r="H71" s="38" t="n">
        <f aca="false">IFERROR(VALUE(SUBSTITUTE(SUBSTITUTE('MLBB INDOFLAZ'!G20,"Rp. ",""),".","")),'MLBB INDOFLAZ'!G20)</f>
        <v>48704</v>
      </c>
      <c r="I71" s="8" t="s">
        <v>2629</v>
      </c>
      <c r="J71" s="38" t="n">
        <f aca="false">'MLBB OURA STORE'!A86</f>
        <v>53097</v>
      </c>
      <c r="K71" s="39"/>
      <c r="L71" s="39"/>
      <c r="M71" s="8" t="n">
        <f aca="false">COUNT(J71:L71)</f>
        <v>1</v>
      </c>
      <c r="N71" s="40" t="str">
        <f aca="false">IF(M71&gt;0,"Ada","Tidak Ada")</f>
        <v>Ada</v>
      </c>
      <c r="O71" s="41" t="n">
        <f aca="false">IF(M71&gt;0,MIN(J71:L71),"-")</f>
        <v>53097</v>
      </c>
      <c r="P71" s="41" t="n">
        <f aca="false">IF(M71&gt;0,AVERAGE(J71:L71),"-")</f>
        <v>53097</v>
      </c>
      <c r="Q71" s="41" t="n">
        <f aca="false">IF(M71&gt;0,O71-G71,"-")</f>
        <v>3911</v>
      </c>
      <c r="R71" s="42" t="n">
        <f aca="false">IF(M71&gt;0,IFERROR(Q71/O71,"-"),"-")</f>
        <v>0.073657645441362</v>
      </c>
      <c r="S71" s="41" t="n">
        <f aca="false">IF(M71&gt;0,ROUND(MAX(G71*1.08,O71*0.97)/100,0)*100,ROUND(G71*1.12/100,0)*100)</f>
        <v>53100</v>
      </c>
      <c r="T71" s="42" t="n">
        <f aca="false">IFERROR((S71-G71)/S71,"-")</f>
        <v>0.0737099811676083</v>
      </c>
    </row>
    <row r="72" customFormat="false" ht="15" hidden="false" customHeight="false" outlineLevel="0" collapsed="false">
      <c r="A72" s="8" t="s">
        <v>409</v>
      </c>
      <c r="B72" s="8" t="s">
        <v>522</v>
      </c>
      <c r="C72" s="8" t="s">
        <v>523</v>
      </c>
      <c r="D72" s="8" t="s">
        <v>21</v>
      </c>
      <c r="E72" s="8" t="n">
        <v>222</v>
      </c>
      <c r="F72" s="38" t="n">
        <f aca="false">IFERROR(VALUE(SUBSTITUTE(SUBSTITUTE('MLBB INDOFLAZ'!E21,"Rp. ",""),".","")),'MLBB INDOFLAZ'!E21)</f>
        <v>59600</v>
      </c>
      <c r="G72" s="38" t="n">
        <f aca="false">IFERROR(VALUE(SUBSTITUTE(SUBSTITUTE('MLBB INDOFLAZ'!F21,"Rp. ",""),".","")),'MLBB INDOFLAZ'!F21)</f>
        <v>59022</v>
      </c>
      <c r="H72" s="38" t="n">
        <f aca="false">IFERROR(VALUE(SUBSTITUTE(SUBSTITUTE('MLBB INDOFLAZ'!G21,"Rp. ",""),".","")),'MLBB INDOFLAZ'!G21)</f>
        <v>58443</v>
      </c>
      <c r="I72" s="8" t="s">
        <v>2629</v>
      </c>
      <c r="J72" s="38" t="n">
        <f aca="false">'MLBB OURA STORE'!A88</f>
        <v>62193</v>
      </c>
      <c r="K72" s="39"/>
      <c r="L72" s="39"/>
      <c r="M72" s="8" t="n">
        <f aca="false">COUNT(J72:L72)</f>
        <v>1</v>
      </c>
      <c r="N72" s="40" t="str">
        <f aca="false">IF(M72&gt;0,"Ada","Tidak Ada")</f>
        <v>Ada</v>
      </c>
      <c r="O72" s="41" t="n">
        <f aca="false">IF(M72&gt;0,MIN(J72:L72),"-")</f>
        <v>62193</v>
      </c>
      <c r="P72" s="41" t="n">
        <f aca="false">IF(M72&gt;0,AVERAGE(J72:L72),"-")</f>
        <v>62193</v>
      </c>
      <c r="Q72" s="41" t="n">
        <f aca="false">IF(M72&gt;0,O72-G72,"-")</f>
        <v>3171</v>
      </c>
      <c r="R72" s="42" t="n">
        <f aca="false">IF(M72&gt;0,IFERROR(Q72/O72,"-"),"-")</f>
        <v>0.0509864454199026</v>
      </c>
      <c r="S72" s="41" t="n">
        <f aca="false">IF(M72&gt;0,ROUND(MAX(G72*1.08,O72*0.97)/100,0)*100,ROUND(G72*1.12/100,0)*100)</f>
        <v>63700</v>
      </c>
      <c r="T72" s="42" t="n">
        <f aca="false">IFERROR((S72-G72)/S72,"-")</f>
        <v>0.0734379905808477</v>
      </c>
    </row>
    <row r="73" customFormat="false" ht="15" hidden="false" customHeight="false" outlineLevel="0" collapsed="false">
      <c r="A73" s="8" t="s">
        <v>409</v>
      </c>
      <c r="B73" s="8" t="s">
        <v>528</v>
      </c>
      <c r="C73" s="8" t="s">
        <v>529</v>
      </c>
      <c r="D73" s="8" t="s">
        <v>21</v>
      </c>
      <c r="E73" s="8" t="n">
        <v>258</v>
      </c>
      <c r="F73" s="38" t="n">
        <f aca="false">IFERROR(VALUE(SUBSTITUTE(SUBSTITUTE('MLBB INDOFLAZ'!E22,"Rp. ",""),".","")),'MLBB INDOFLAZ'!E22)</f>
        <v>69535</v>
      </c>
      <c r="G73" s="38" t="n">
        <f aca="false">IFERROR(VALUE(SUBSTITUTE(SUBSTITUTE('MLBB INDOFLAZ'!F22,"Rp. ",""),".","")),'MLBB INDOFLAZ'!F22)</f>
        <v>68860</v>
      </c>
      <c r="H73" s="38" t="n">
        <f aca="false">IFERROR(VALUE(SUBSTITUTE(SUBSTITUTE('MLBB INDOFLAZ'!G22,"Rp. ",""),".","")),'MLBB INDOFLAZ'!G22)</f>
        <v>68185</v>
      </c>
      <c r="I73" s="8" t="s">
        <v>2625</v>
      </c>
      <c r="J73" s="39"/>
      <c r="K73" s="39"/>
      <c r="L73" s="39"/>
      <c r="M73" s="8" t="n">
        <f aca="false">COUNT(J73:L73)</f>
        <v>0</v>
      </c>
      <c r="N73" s="40" t="str">
        <f aca="false">IF(M73&gt;0,"Ada","Tidak Ada")</f>
        <v>Tidak Ada</v>
      </c>
      <c r="O73" s="41" t="str">
        <f aca="false">IF(M73&gt;0,MIN(J73:L73),"-")</f>
        <v>-</v>
      </c>
      <c r="P73" s="41" t="str">
        <f aca="false">IF(M73&gt;0,AVERAGE(J73:L73),"-")</f>
        <v>-</v>
      </c>
      <c r="Q73" s="41" t="str">
        <f aca="false">IF(M73&gt;0,O73-G73,"-")</f>
        <v>-</v>
      </c>
      <c r="R73" s="42" t="str">
        <f aca="false">IF(M73&gt;0,IFERROR(Q73/O73,"-"),"-")</f>
        <v>-</v>
      </c>
      <c r="S73" s="41" t="n">
        <f aca="false">IF(M73&gt;0,ROUND(MAX(G73*1.08,O73*0.97)/100,0)*100,ROUND(G73*1.12/100,0)*100)</f>
        <v>77100</v>
      </c>
      <c r="T73" s="42" t="n">
        <f aca="false">IFERROR((S73-G73)/S73,"-")</f>
        <v>0.106874189364462</v>
      </c>
    </row>
    <row r="74" customFormat="false" ht="15" hidden="false" customHeight="false" outlineLevel="0" collapsed="false">
      <c r="A74" s="8" t="s">
        <v>409</v>
      </c>
      <c r="B74" s="8" t="s">
        <v>534</v>
      </c>
      <c r="C74" s="8" t="s">
        <v>535</v>
      </c>
      <c r="D74" s="8" t="s">
        <v>21</v>
      </c>
      <c r="E74" s="8" t="n">
        <v>277</v>
      </c>
      <c r="F74" s="38" t="n">
        <f aca="false">IFERROR(VALUE(SUBSTITUTE(SUBSTITUTE('MLBB INDOFLAZ'!E23,"Rp. ",""),".","")),'MLBB INDOFLAZ'!E23)</f>
        <v>74500</v>
      </c>
      <c r="G74" s="38" t="n">
        <f aca="false">IFERROR(VALUE(SUBSTITUTE(SUBSTITUTE('MLBB INDOFLAZ'!F23,"Rp. ",""),".","")),'MLBB INDOFLAZ'!F23)</f>
        <v>73777</v>
      </c>
      <c r="H74" s="38" t="n">
        <f aca="false">IFERROR(VALUE(SUBSTITUTE(SUBSTITUTE('MLBB INDOFLAZ'!G23,"Rp. ",""),".","")),'MLBB INDOFLAZ'!G23)</f>
        <v>73054</v>
      </c>
      <c r="I74" s="8" t="s">
        <v>2629</v>
      </c>
      <c r="J74" s="38" t="n">
        <f aca="false">'MLBB OURA STORE'!A94</f>
        <v>77741</v>
      </c>
      <c r="K74" s="39"/>
      <c r="L74" s="39"/>
      <c r="M74" s="8" t="n">
        <f aca="false">COUNT(J74:L74)</f>
        <v>1</v>
      </c>
      <c r="N74" s="40" t="str">
        <f aca="false">IF(M74&gt;0,"Ada","Tidak Ada")</f>
        <v>Ada</v>
      </c>
      <c r="O74" s="41" t="n">
        <f aca="false">IF(M74&gt;0,MIN(J74:L74),"-")</f>
        <v>77741</v>
      </c>
      <c r="P74" s="41" t="n">
        <f aca="false">IF(M74&gt;0,AVERAGE(J74:L74),"-")</f>
        <v>77741</v>
      </c>
      <c r="Q74" s="41" t="n">
        <f aca="false">IF(M74&gt;0,O74-G74,"-")</f>
        <v>3964</v>
      </c>
      <c r="R74" s="42" t="n">
        <f aca="false">IF(M74&gt;0,IFERROR(Q74/O74,"-"),"-")</f>
        <v>0.0509898251887678</v>
      </c>
      <c r="S74" s="41" t="n">
        <f aca="false">IF(M74&gt;0,ROUND(MAX(G74*1.08,O74*0.97)/100,0)*100,ROUND(G74*1.12/100,0)*100)</f>
        <v>79700</v>
      </c>
      <c r="T74" s="42" t="n">
        <f aca="false">IFERROR((S74-G74)/S74,"-")</f>
        <v>0.0743161856963614</v>
      </c>
    </row>
    <row r="75" customFormat="false" ht="15" hidden="false" customHeight="false" outlineLevel="0" collapsed="false">
      <c r="A75" s="8" t="s">
        <v>409</v>
      </c>
      <c r="B75" s="8" t="s">
        <v>540</v>
      </c>
      <c r="C75" s="8" t="s">
        <v>541</v>
      </c>
      <c r="D75" s="8" t="s">
        <v>21</v>
      </c>
      <c r="E75" s="8" t="n">
        <v>284</v>
      </c>
      <c r="F75" s="38" t="n">
        <f aca="false">IFERROR(VALUE(SUBSTITUTE(SUBSTITUTE('MLBB INDOFLAZ'!E24,"Rp. ",""),".","")),'MLBB INDOFLAZ'!E24)</f>
        <v>75726</v>
      </c>
      <c r="G75" s="38" t="n">
        <f aca="false">IFERROR(VALUE(SUBSTITUTE(SUBSTITUTE('MLBB INDOFLAZ'!F24,"Rp. ",""),".","")),'MLBB INDOFLAZ'!F24)</f>
        <v>74991</v>
      </c>
      <c r="H75" s="38" t="n">
        <f aca="false">IFERROR(VALUE(SUBSTITUTE(SUBSTITUTE('MLBB INDOFLAZ'!G24,"Rp. ",""),".","")),'MLBB INDOFLAZ'!G24)</f>
        <v>74256</v>
      </c>
      <c r="I75" s="8" t="s">
        <v>2629</v>
      </c>
      <c r="J75" s="38" t="n">
        <f aca="false">'MLBB OURA STORE'!A96</f>
        <v>78429</v>
      </c>
      <c r="K75" s="39"/>
      <c r="L75" s="39"/>
      <c r="M75" s="8" t="n">
        <f aca="false">COUNT(J75:L75)</f>
        <v>1</v>
      </c>
      <c r="N75" s="40" t="str">
        <f aca="false">IF(M75&gt;0,"Ada","Tidak Ada")</f>
        <v>Ada</v>
      </c>
      <c r="O75" s="41" t="n">
        <f aca="false">IF(M75&gt;0,MIN(J75:L75),"-")</f>
        <v>78429</v>
      </c>
      <c r="P75" s="41" t="n">
        <f aca="false">IF(M75&gt;0,AVERAGE(J75:L75),"-")</f>
        <v>78429</v>
      </c>
      <c r="Q75" s="41" t="n">
        <f aca="false">IF(M75&gt;0,O75-G75,"-")</f>
        <v>3438</v>
      </c>
      <c r="R75" s="42" t="n">
        <f aca="false">IF(M75&gt;0,IFERROR(Q75/O75,"-"),"-")</f>
        <v>0.0438358260337375</v>
      </c>
      <c r="S75" s="41" t="n">
        <f aca="false">IF(M75&gt;0,ROUND(MAX(G75*1.08,O75*0.97)/100,0)*100,ROUND(G75*1.12/100,0)*100)</f>
        <v>81000</v>
      </c>
      <c r="T75" s="42" t="n">
        <f aca="false">IFERROR((S75-G75)/S75,"-")</f>
        <v>0.0741851851851852</v>
      </c>
    </row>
    <row r="76" customFormat="false" ht="15" hidden="false" customHeight="false" outlineLevel="0" collapsed="false">
      <c r="A76" s="8" t="s">
        <v>409</v>
      </c>
      <c r="B76" s="8" t="s">
        <v>546</v>
      </c>
      <c r="C76" s="8" t="s">
        <v>547</v>
      </c>
      <c r="D76" s="8" t="s">
        <v>21</v>
      </c>
      <c r="E76" s="8" t="n">
        <v>305</v>
      </c>
      <c r="F76" s="38" t="n">
        <f aca="false">IFERROR(VALUE(SUBSTITUTE(SUBSTITUTE('MLBB INDOFLAZ'!E25,"Rp. ",""),".","")),'MLBB INDOFLAZ'!E25)</f>
        <v>82447</v>
      </c>
      <c r="G76" s="38" t="n">
        <f aca="false">IFERROR(VALUE(SUBSTITUTE(SUBSTITUTE('MLBB INDOFLAZ'!F25,"Rp. ",""),".","")),'MLBB INDOFLAZ'!F25)</f>
        <v>81646</v>
      </c>
      <c r="H76" s="38" t="n">
        <f aca="false">IFERROR(VALUE(SUBSTITUTE(SUBSTITUTE('MLBB INDOFLAZ'!G25,"Rp. ",""),".","")),'MLBB INDOFLAZ'!G25)</f>
        <v>80846</v>
      </c>
      <c r="I76" s="8" t="s">
        <v>2629</v>
      </c>
      <c r="J76" s="38" t="n">
        <f aca="false">'MLBB OURA STORE'!A100</f>
        <v>86036</v>
      </c>
      <c r="K76" s="39"/>
      <c r="L76" s="39"/>
      <c r="M76" s="8" t="n">
        <f aca="false">COUNT(J76:L76)</f>
        <v>1</v>
      </c>
      <c r="N76" s="40" t="str">
        <f aca="false">IF(M76&gt;0,"Ada","Tidak Ada")</f>
        <v>Ada</v>
      </c>
      <c r="O76" s="41" t="n">
        <f aca="false">IF(M76&gt;0,MIN(J76:L76),"-")</f>
        <v>86036</v>
      </c>
      <c r="P76" s="41" t="n">
        <f aca="false">IF(M76&gt;0,AVERAGE(J76:L76),"-")</f>
        <v>86036</v>
      </c>
      <c r="Q76" s="41" t="n">
        <f aca="false">IF(M76&gt;0,O76-G76,"-")</f>
        <v>4390</v>
      </c>
      <c r="R76" s="42" t="n">
        <f aca="false">IF(M76&gt;0,IFERROR(Q76/O76,"-"),"-")</f>
        <v>0.0510251522618439</v>
      </c>
      <c r="S76" s="41" t="n">
        <f aca="false">IF(M76&gt;0,ROUND(MAX(G76*1.08,O76*0.97)/100,0)*100,ROUND(G76*1.12/100,0)*100)</f>
        <v>88200</v>
      </c>
      <c r="T76" s="42" t="n">
        <f aca="false">IFERROR((S76-G76)/S76,"-")</f>
        <v>0.0743083900226757</v>
      </c>
    </row>
    <row r="77" customFormat="false" ht="15" hidden="false" customHeight="false" outlineLevel="0" collapsed="false">
      <c r="A77" s="8" t="s">
        <v>409</v>
      </c>
      <c r="B77" s="8" t="s">
        <v>552</v>
      </c>
      <c r="C77" s="8" t="s">
        <v>553</v>
      </c>
      <c r="D77" s="8" t="s">
        <v>21</v>
      </c>
      <c r="E77" s="8" t="n">
        <v>333</v>
      </c>
      <c r="F77" s="38" t="n">
        <f aca="false">IFERROR(VALUE(SUBSTITUTE(SUBSTITUTE('MLBB INDOFLAZ'!E26,"Rp. ",""),".","")),'MLBB INDOFLAZ'!E26)</f>
        <v>90393</v>
      </c>
      <c r="G77" s="38" t="n">
        <f aca="false">IFERROR(VALUE(SUBSTITUTE(SUBSTITUTE('MLBB INDOFLAZ'!F26,"Rp. ",""),".","")),'MLBB INDOFLAZ'!F26)</f>
        <v>89516</v>
      </c>
      <c r="H77" s="38" t="n">
        <f aca="false">IFERROR(VALUE(SUBSTITUTE(SUBSTITUTE('MLBB INDOFLAZ'!G26,"Rp. ",""),".","")),'MLBB INDOFLAZ'!G26)</f>
        <v>88638</v>
      </c>
      <c r="I77" s="8" t="s">
        <v>2625</v>
      </c>
      <c r="J77" s="39"/>
      <c r="K77" s="39"/>
      <c r="L77" s="39"/>
      <c r="M77" s="8" t="n">
        <f aca="false">COUNT(J77:L77)</f>
        <v>0</v>
      </c>
      <c r="N77" s="40" t="str">
        <f aca="false">IF(M77&gt;0,"Ada","Tidak Ada")</f>
        <v>Tidak Ada</v>
      </c>
      <c r="O77" s="41" t="str">
        <f aca="false">IF(M77&gt;0,MIN(J77:L77),"-")</f>
        <v>-</v>
      </c>
      <c r="P77" s="41" t="str">
        <f aca="false">IF(M77&gt;0,AVERAGE(J77:L77),"-")</f>
        <v>-</v>
      </c>
      <c r="Q77" s="41" t="str">
        <f aca="false">IF(M77&gt;0,O77-G77,"-")</f>
        <v>-</v>
      </c>
      <c r="R77" s="42" t="str">
        <f aca="false">IF(M77&gt;0,IFERROR(Q77/O77,"-"),"-")</f>
        <v>-</v>
      </c>
      <c r="S77" s="41" t="n">
        <f aca="false">IF(M77&gt;0,ROUND(MAX(G77*1.08,O77*0.97)/100,0)*100,ROUND(G77*1.12/100,0)*100)</f>
        <v>100300</v>
      </c>
      <c r="T77" s="42" t="n">
        <f aca="false">IFERROR((S77-G77)/S77,"-")</f>
        <v>0.107517447657029</v>
      </c>
    </row>
    <row r="78" customFormat="false" ht="15" hidden="false" customHeight="false" outlineLevel="0" collapsed="false">
      <c r="A78" s="8" t="s">
        <v>409</v>
      </c>
      <c r="B78" s="8" t="s">
        <v>558</v>
      </c>
      <c r="C78" s="8" t="s">
        <v>559</v>
      </c>
      <c r="D78" s="8" t="s">
        <v>21</v>
      </c>
      <c r="E78" s="8" t="n">
        <v>346</v>
      </c>
      <c r="F78" s="38" t="n">
        <f aca="false">IFERROR(VALUE(SUBSTITUTE(SUBSTITUTE('MLBB INDOFLAZ'!E27,"Rp. ",""),".","")),'MLBB INDOFLAZ'!E27)</f>
        <v>92999</v>
      </c>
      <c r="G78" s="38" t="n">
        <f aca="false">IFERROR(VALUE(SUBSTITUTE(SUBSTITUTE('MLBB INDOFLAZ'!F27,"Rp. ",""),".","")),'MLBB INDOFLAZ'!F27)</f>
        <v>92096</v>
      </c>
      <c r="H78" s="38" t="n">
        <f aca="false">IFERROR(VALUE(SUBSTITUTE(SUBSTITUTE('MLBB INDOFLAZ'!G27,"Rp. ",""),".","")),'MLBB INDOFLAZ'!G27)</f>
        <v>91193</v>
      </c>
      <c r="I78" s="8" t="s">
        <v>2625</v>
      </c>
      <c r="J78" s="39"/>
      <c r="K78" s="39"/>
      <c r="L78" s="39"/>
      <c r="M78" s="8" t="n">
        <f aca="false">COUNT(J78:L78)</f>
        <v>0</v>
      </c>
      <c r="N78" s="40" t="str">
        <f aca="false">IF(M78&gt;0,"Ada","Tidak Ada")</f>
        <v>Tidak Ada</v>
      </c>
      <c r="O78" s="41" t="str">
        <f aca="false">IF(M78&gt;0,MIN(J78:L78),"-")</f>
        <v>-</v>
      </c>
      <c r="P78" s="41" t="str">
        <f aca="false">IF(M78&gt;0,AVERAGE(J78:L78),"-")</f>
        <v>-</v>
      </c>
      <c r="Q78" s="41" t="str">
        <f aca="false">IF(M78&gt;0,O78-G78,"-")</f>
        <v>-</v>
      </c>
      <c r="R78" s="42" t="str">
        <f aca="false">IF(M78&gt;0,IFERROR(Q78/O78,"-"),"-")</f>
        <v>-</v>
      </c>
      <c r="S78" s="41" t="n">
        <f aca="false">IF(M78&gt;0,ROUND(MAX(G78*1.08,O78*0.97)/100,0)*100,ROUND(G78*1.12/100,0)*100)</f>
        <v>103100</v>
      </c>
      <c r="T78" s="42" t="n">
        <f aca="false">IFERROR((S78-G78)/S78,"-")</f>
        <v>0.106731328806984</v>
      </c>
    </row>
    <row r="79" customFormat="false" ht="15" hidden="false" customHeight="false" outlineLevel="0" collapsed="false">
      <c r="A79" s="8" t="s">
        <v>409</v>
      </c>
      <c r="B79" s="8" t="s">
        <v>564</v>
      </c>
      <c r="C79" s="8" t="s">
        <v>565</v>
      </c>
      <c r="D79" s="8" t="s">
        <v>21</v>
      </c>
      <c r="E79" s="8" t="n">
        <v>356</v>
      </c>
      <c r="F79" s="38" t="n">
        <f aca="false">IFERROR(VALUE(SUBSTITUTE(SUBSTITUTE('MLBB INDOFLAZ'!E28,"Rp. ",""),".","")),'MLBB INDOFLAZ'!E28)</f>
        <v>95844</v>
      </c>
      <c r="G79" s="38" t="n">
        <f aca="false">IFERROR(VALUE(SUBSTITUTE(SUBSTITUTE('MLBB INDOFLAZ'!F28,"Rp. ",""),".","")),'MLBB INDOFLAZ'!F28)</f>
        <v>94914</v>
      </c>
      <c r="H79" s="38" t="n">
        <f aca="false">IFERROR(VALUE(SUBSTITUTE(SUBSTITUTE('MLBB INDOFLAZ'!G28,"Rp. ",""),".","")),'MLBB INDOFLAZ'!G28)</f>
        <v>93983</v>
      </c>
      <c r="I79" s="8" t="s">
        <v>2625</v>
      </c>
      <c r="J79" s="39"/>
      <c r="K79" s="39"/>
      <c r="L79" s="39"/>
      <c r="M79" s="8" t="n">
        <f aca="false">COUNT(J79:L79)</f>
        <v>0</v>
      </c>
      <c r="N79" s="40" t="str">
        <f aca="false">IF(M79&gt;0,"Ada","Tidak Ada")</f>
        <v>Tidak Ada</v>
      </c>
      <c r="O79" s="41" t="str">
        <f aca="false">IF(M79&gt;0,MIN(J79:L79),"-")</f>
        <v>-</v>
      </c>
      <c r="P79" s="41" t="str">
        <f aca="false">IF(M79&gt;0,AVERAGE(J79:L79),"-")</f>
        <v>-</v>
      </c>
      <c r="Q79" s="41" t="str">
        <f aca="false">IF(M79&gt;0,O79-G79,"-")</f>
        <v>-</v>
      </c>
      <c r="R79" s="42" t="str">
        <f aca="false">IF(M79&gt;0,IFERROR(Q79/O79,"-"),"-")</f>
        <v>-</v>
      </c>
      <c r="S79" s="41" t="n">
        <f aca="false">IF(M79&gt;0,ROUND(MAX(G79*1.08,O79*0.97)/100,0)*100,ROUND(G79*1.12/100,0)*100)</f>
        <v>106300</v>
      </c>
      <c r="T79" s="42" t="n">
        <f aca="false">IFERROR((S79-G79)/S79,"-")</f>
        <v>0.107111947318909</v>
      </c>
    </row>
    <row r="80" customFormat="false" ht="15" hidden="false" customHeight="false" outlineLevel="0" collapsed="false">
      <c r="A80" s="8" t="s">
        <v>409</v>
      </c>
      <c r="B80" s="8" t="s">
        <v>570</v>
      </c>
      <c r="C80" s="8" t="s">
        <v>571</v>
      </c>
      <c r="D80" s="8" t="s">
        <v>21</v>
      </c>
      <c r="E80" s="8" t="n">
        <v>370</v>
      </c>
      <c r="F80" s="38" t="n">
        <f aca="false">IFERROR(VALUE(SUBSTITUTE(SUBSTITUTE('MLBB INDOFLAZ'!E29,"Rp. ",""),".","")),'MLBB INDOFLAZ'!E29)</f>
        <v>99334</v>
      </c>
      <c r="G80" s="38" t="n">
        <f aca="false">IFERROR(VALUE(SUBSTITUTE(SUBSTITUTE('MLBB INDOFLAZ'!F29,"Rp. ",""),".","")),'MLBB INDOFLAZ'!F29)</f>
        <v>98369</v>
      </c>
      <c r="H80" s="38" t="n">
        <f aca="false">IFERROR(VALUE(SUBSTITUTE(SUBSTITUTE('MLBB INDOFLAZ'!G29,"Rp. ",""),".","")),'MLBB INDOFLAZ'!G29)</f>
        <v>97405</v>
      </c>
      <c r="I80" s="8" t="s">
        <v>2629</v>
      </c>
      <c r="J80" s="38" t="n">
        <f aca="false">'MLBB OURA STORE'!A102</f>
        <v>103654</v>
      </c>
      <c r="K80" s="39"/>
      <c r="L80" s="39"/>
      <c r="M80" s="8" t="n">
        <f aca="false">COUNT(J80:L80)</f>
        <v>1</v>
      </c>
      <c r="N80" s="40" t="str">
        <f aca="false">IF(M80&gt;0,"Ada","Tidak Ada")</f>
        <v>Ada</v>
      </c>
      <c r="O80" s="41" t="n">
        <f aca="false">IF(M80&gt;0,MIN(J80:L80),"-")</f>
        <v>103654</v>
      </c>
      <c r="P80" s="41" t="n">
        <f aca="false">IF(M80&gt;0,AVERAGE(J80:L80),"-")</f>
        <v>103654</v>
      </c>
      <c r="Q80" s="41" t="n">
        <f aca="false">IF(M80&gt;0,O80-G80,"-")</f>
        <v>5285</v>
      </c>
      <c r="R80" s="42" t="n">
        <f aca="false">IF(M80&gt;0,IFERROR(Q80/O80,"-"),"-")</f>
        <v>0.0509869373106682</v>
      </c>
      <c r="S80" s="41" t="n">
        <f aca="false">IF(M80&gt;0,ROUND(MAX(G80*1.08,O80*0.97)/100,0)*100,ROUND(G80*1.12/100,0)*100)</f>
        <v>106200</v>
      </c>
      <c r="T80" s="42" t="n">
        <f aca="false">IFERROR((S80-G80)/S80,"-")</f>
        <v>0.0737382297551789</v>
      </c>
    </row>
    <row r="81" customFormat="false" ht="15" hidden="false" customHeight="false" outlineLevel="0" collapsed="false">
      <c r="A81" s="8" t="s">
        <v>409</v>
      </c>
      <c r="B81" s="8" t="s">
        <v>576</v>
      </c>
      <c r="C81" s="8" t="s">
        <v>577</v>
      </c>
      <c r="D81" s="8" t="s">
        <v>21</v>
      </c>
      <c r="E81" s="8" t="n">
        <v>384</v>
      </c>
      <c r="F81" s="38" t="n">
        <f aca="false">IFERROR(VALUE(SUBSTITUTE(SUBSTITUTE('MLBB INDOFLAZ'!E30,"Rp. ",""),".","")),'MLBB INDOFLAZ'!E30)</f>
        <v>103307</v>
      </c>
      <c r="G81" s="38" t="n">
        <f aca="false">IFERROR(VALUE(SUBSTITUTE(SUBSTITUTE('MLBB INDOFLAZ'!F30,"Rp. ",""),".","")),'MLBB INDOFLAZ'!F30)</f>
        <v>102304</v>
      </c>
      <c r="H81" s="38" t="n">
        <f aca="false">IFERROR(VALUE(SUBSTITUTE(SUBSTITUTE('MLBB INDOFLAZ'!G30,"Rp. ",""),".","")),'MLBB INDOFLAZ'!G30)</f>
        <v>101301</v>
      </c>
      <c r="I81" s="8" t="s">
        <v>2629</v>
      </c>
      <c r="J81" s="38" t="n">
        <f aca="false">'MLBB OURA STORE'!A104</f>
        <v>107801</v>
      </c>
      <c r="K81" s="39"/>
      <c r="L81" s="39"/>
      <c r="M81" s="8" t="n">
        <f aca="false">COUNT(J81:L81)</f>
        <v>1</v>
      </c>
      <c r="N81" s="40" t="str">
        <f aca="false">IF(M81&gt;0,"Ada","Tidak Ada")</f>
        <v>Ada</v>
      </c>
      <c r="O81" s="41" t="n">
        <f aca="false">IF(M81&gt;0,MIN(J81:L81),"-")</f>
        <v>107801</v>
      </c>
      <c r="P81" s="41" t="n">
        <f aca="false">IF(M81&gt;0,AVERAGE(J81:L81),"-")</f>
        <v>107801</v>
      </c>
      <c r="Q81" s="41" t="n">
        <f aca="false">IF(M81&gt;0,O81-G81,"-")</f>
        <v>5497</v>
      </c>
      <c r="R81" s="42" t="n">
        <f aca="false">IF(M81&gt;0,IFERROR(Q81/O81,"-"),"-")</f>
        <v>0.0509921058246213</v>
      </c>
      <c r="S81" s="41" t="n">
        <f aca="false">IF(M81&gt;0,ROUND(MAX(G81*1.08,O81*0.97)/100,0)*100,ROUND(G81*1.12/100,0)*100)</f>
        <v>110500</v>
      </c>
      <c r="T81" s="42" t="n">
        <f aca="false">IFERROR((S81-G81)/S81,"-")</f>
        <v>0.0741719457013575</v>
      </c>
    </row>
    <row r="82" customFormat="false" ht="15" hidden="false" customHeight="false" outlineLevel="0" collapsed="false">
      <c r="A82" s="8" t="s">
        <v>409</v>
      </c>
      <c r="B82" s="8" t="s">
        <v>582</v>
      </c>
      <c r="C82" s="8" t="s">
        <v>583</v>
      </c>
      <c r="D82" s="8" t="s">
        <v>21</v>
      </c>
      <c r="E82" s="8" t="n">
        <v>424</v>
      </c>
      <c r="F82" s="38" t="n">
        <f aca="false">IFERROR(VALUE(SUBSTITUTE(SUBSTITUTE('MLBB INDOFLAZ'!E31,"Rp. ",""),".","")),'MLBB INDOFLAZ'!E31)</f>
        <v>113241</v>
      </c>
      <c r="G82" s="38" t="n">
        <f aca="false">IFERROR(VALUE(SUBSTITUTE(SUBSTITUTE('MLBB INDOFLAZ'!F31,"Rp. ",""),".","")),'MLBB INDOFLAZ'!F31)</f>
        <v>112141</v>
      </c>
      <c r="H82" s="38" t="n">
        <f aca="false">IFERROR(VALUE(SUBSTITUTE(SUBSTITUTE('MLBB INDOFLAZ'!G31,"Rp. ",""),".","")),'MLBB INDOFLAZ'!G31)</f>
        <v>111042</v>
      </c>
      <c r="I82" s="8" t="s">
        <v>2625</v>
      </c>
      <c r="J82" s="39"/>
      <c r="K82" s="39"/>
      <c r="L82" s="39"/>
      <c r="M82" s="8" t="n">
        <f aca="false">COUNT(J82:L82)</f>
        <v>0</v>
      </c>
      <c r="N82" s="40" t="str">
        <f aca="false">IF(M82&gt;0,"Ada","Tidak Ada")</f>
        <v>Tidak Ada</v>
      </c>
      <c r="O82" s="41" t="str">
        <f aca="false">IF(M82&gt;0,MIN(J82:L82),"-")</f>
        <v>-</v>
      </c>
      <c r="P82" s="41" t="str">
        <f aca="false">IF(M82&gt;0,AVERAGE(J82:L82),"-")</f>
        <v>-</v>
      </c>
      <c r="Q82" s="41" t="str">
        <f aca="false">IF(M82&gt;0,O82-G82,"-")</f>
        <v>-</v>
      </c>
      <c r="R82" s="42" t="str">
        <f aca="false">IF(M82&gt;0,IFERROR(Q82/O82,"-"),"-")</f>
        <v>-</v>
      </c>
      <c r="S82" s="41" t="n">
        <f aca="false">IF(M82&gt;0,ROUND(MAX(G82*1.08,O82*0.97)/100,0)*100,ROUND(G82*1.12/100,0)*100)</f>
        <v>125600</v>
      </c>
      <c r="T82" s="42" t="n">
        <f aca="false">IFERROR((S82-G82)/S82,"-")</f>
        <v>0.107157643312102</v>
      </c>
    </row>
    <row r="83" customFormat="false" ht="15" hidden="false" customHeight="false" outlineLevel="0" collapsed="false">
      <c r="A83" s="8" t="s">
        <v>409</v>
      </c>
      <c r="B83" s="8" t="s">
        <v>588</v>
      </c>
      <c r="C83" s="8" t="s">
        <v>589</v>
      </c>
      <c r="D83" s="8" t="s">
        <v>21</v>
      </c>
      <c r="E83" s="8" t="n">
        <v>452</v>
      </c>
      <c r="F83" s="38" t="n">
        <f aca="false">IFERROR(VALUE(SUBSTITUTE(SUBSTITUTE('MLBB INDOFLAZ'!E32,"Rp. ",""),".","")),'MLBB INDOFLAZ'!E32)</f>
        <v>119971</v>
      </c>
      <c r="G83" s="38" t="n">
        <f aca="false">IFERROR(VALUE(SUBSTITUTE(SUBSTITUTE('MLBB INDOFLAZ'!F32,"Rp. ",""),".","")),'MLBB INDOFLAZ'!F32)</f>
        <v>118806</v>
      </c>
      <c r="H83" s="38" t="n">
        <f aca="false">IFERROR(VALUE(SUBSTITUTE(SUBSTITUTE('MLBB INDOFLAZ'!G32,"Rp. ",""),".","")),'MLBB INDOFLAZ'!G32)</f>
        <v>117641</v>
      </c>
      <c r="I83" s="8" t="s">
        <v>2625</v>
      </c>
      <c r="J83" s="39"/>
      <c r="K83" s="39"/>
      <c r="L83" s="39"/>
      <c r="M83" s="8" t="n">
        <f aca="false">COUNT(J83:L83)</f>
        <v>0</v>
      </c>
      <c r="N83" s="40" t="str">
        <f aca="false">IF(M83&gt;0,"Ada","Tidak Ada")</f>
        <v>Tidak Ada</v>
      </c>
      <c r="O83" s="41" t="str">
        <f aca="false">IF(M83&gt;0,MIN(J83:L83),"-")</f>
        <v>-</v>
      </c>
      <c r="P83" s="41" t="str">
        <f aca="false">IF(M83&gt;0,AVERAGE(J83:L83),"-")</f>
        <v>-</v>
      </c>
      <c r="Q83" s="41" t="str">
        <f aca="false">IF(M83&gt;0,O83-G83,"-")</f>
        <v>-</v>
      </c>
      <c r="R83" s="42" t="str">
        <f aca="false">IF(M83&gt;0,IFERROR(Q83/O83,"-"),"-")</f>
        <v>-</v>
      </c>
      <c r="S83" s="41" t="n">
        <f aca="false">IF(M83&gt;0,ROUND(MAX(G83*1.08,O83*0.97)/100,0)*100,ROUND(G83*1.12/100,0)*100)</f>
        <v>133100</v>
      </c>
      <c r="T83" s="42" t="n">
        <f aca="false">IFERROR((S83-G83)/S83,"-")</f>
        <v>0.107392937640872</v>
      </c>
    </row>
    <row r="84" customFormat="false" ht="15" hidden="false" customHeight="false" outlineLevel="0" collapsed="false">
      <c r="A84" s="8" t="s">
        <v>409</v>
      </c>
      <c r="B84" s="8" t="s">
        <v>594</v>
      </c>
      <c r="C84" s="8" t="s">
        <v>595</v>
      </c>
      <c r="D84" s="8" t="s">
        <v>21</v>
      </c>
      <c r="E84" s="8" t="n">
        <v>518</v>
      </c>
      <c r="F84" s="38" t="n">
        <f aca="false">IFERROR(VALUE(SUBSTITUTE(SUBSTITUTE('MLBB INDOFLAZ'!E33,"Rp. ",""),".","")),'MLBB INDOFLAZ'!E33)</f>
        <v>137948</v>
      </c>
      <c r="G84" s="38" t="n">
        <f aca="false">IFERROR(VALUE(SUBSTITUTE(SUBSTITUTE('MLBB INDOFLAZ'!F33,"Rp. ",""),".","")),'MLBB INDOFLAZ'!F33)</f>
        <v>136609</v>
      </c>
      <c r="H84" s="38" t="n">
        <f aca="false">IFERROR(VALUE(SUBSTITUTE(SUBSTITUTE('MLBB INDOFLAZ'!G33,"Rp. ",""),".","")),'MLBB INDOFLAZ'!G33)</f>
        <v>135270</v>
      </c>
      <c r="I84" s="8" t="s">
        <v>2629</v>
      </c>
      <c r="J84" s="38" t="n">
        <f aca="false">'MLBB OURA STORE'!A108</f>
        <v>145116</v>
      </c>
      <c r="K84" s="39"/>
      <c r="L84" s="39"/>
      <c r="M84" s="8" t="n">
        <f aca="false">COUNT(J84:L84)</f>
        <v>1</v>
      </c>
      <c r="N84" s="40" t="str">
        <f aca="false">IF(M84&gt;0,"Ada","Tidak Ada")</f>
        <v>Ada</v>
      </c>
      <c r="O84" s="41" t="n">
        <f aca="false">IF(M84&gt;0,MIN(J84:L84),"-")</f>
        <v>145116</v>
      </c>
      <c r="P84" s="41" t="n">
        <f aca="false">IF(M84&gt;0,AVERAGE(J84:L84),"-")</f>
        <v>145116</v>
      </c>
      <c r="Q84" s="41" t="n">
        <f aca="false">IF(M84&gt;0,O84-G84,"-")</f>
        <v>8507</v>
      </c>
      <c r="R84" s="42" t="n">
        <f aca="false">IF(M84&gt;0,IFERROR(Q84/O84,"-"),"-")</f>
        <v>0.058622067862951</v>
      </c>
      <c r="S84" s="41" t="n">
        <f aca="false">IF(M84&gt;0,ROUND(MAX(G84*1.08,O84*0.97)/100,0)*100,ROUND(G84*1.12/100,0)*100)</f>
        <v>147500</v>
      </c>
      <c r="T84" s="42" t="n">
        <f aca="false">IFERROR((S84-G84)/S84,"-")</f>
        <v>0.0738372881355932</v>
      </c>
    </row>
    <row r="85" customFormat="false" ht="15" hidden="false" customHeight="false" outlineLevel="0" collapsed="false">
      <c r="A85" s="8" t="s">
        <v>409</v>
      </c>
      <c r="B85" s="8" t="s">
        <v>600</v>
      </c>
      <c r="C85" s="8" t="s">
        <v>601</v>
      </c>
      <c r="D85" s="8" t="s">
        <v>21</v>
      </c>
      <c r="E85" s="8" t="n">
        <v>642</v>
      </c>
      <c r="F85" s="38" t="n">
        <f aca="false">IFERROR(VALUE(SUBSTITUTE(SUBSTITUTE('MLBB INDOFLAZ'!E34,"Rp. ",""),".","")),'MLBB INDOFLAZ'!E34)</f>
        <v>167377</v>
      </c>
      <c r="G85" s="38" t="n">
        <f aca="false">IFERROR(VALUE(SUBSTITUTE(SUBSTITUTE('MLBB INDOFLAZ'!F34,"Rp. ",""),".","")),'MLBB INDOFLAZ'!F34)</f>
        <v>165752</v>
      </c>
      <c r="H85" s="38" t="n">
        <f aca="false">IFERROR(VALUE(SUBSTITUTE(SUBSTITUTE('MLBB INDOFLAZ'!G34,"Rp. ",""),".","")),'MLBB INDOFLAZ'!G34)</f>
        <v>164127</v>
      </c>
      <c r="I85" s="8" t="s">
        <v>2625</v>
      </c>
      <c r="J85" s="39"/>
      <c r="K85" s="39"/>
      <c r="L85" s="39"/>
      <c r="M85" s="8" t="n">
        <f aca="false">COUNT(J85:L85)</f>
        <v>0</v>
      </c>
      <c r="N85" s="40" t="str">
        <f aca="false">IF(M85&gt;0,"Ada","Tidak Ada")</f>
        <v>Tidak Ada</v>
      </c>
      <c r="O85" s="41" t="str">
        <f aca="false">IF(M85&gt;0,MIN(J85:L85),"-")</f>
        <v>-</v>
      </c>
      <c r="P85" s="41" t="str">
        <f aca="false">IF(M85&gt;0,AVERAGE(J85:L85),"-")</f>
        <v>-</v>
      </c>
      <c r="Q85" s="41" t="str">
        <f aca="false">IF(M85&gt;0,O85-G85,"-")</f>
        <v>-</v>
      </c>
      <c r="R85" s="42" t="str">
        <f aca="false">IF(M85&gt;0,IFERROR(Q85/O85,"-"),"-")</f>
        <v>-</v>
      </c>
      <c r="S85" s="41" t="n">
        <f aca="false">IF(M85&gt;0,ROUND(MAX(G85*1.08,O85*0.97)/100,0)*100,ROUND(G85*1.12/100,0)*100)</f>
        <v>185600</v>
      </c>
      <c r="T85" s="42" t="n">
        <f aca="false">IFERROR((S85-G85)/S85,"-")</f>
        <v>0.106939655172414</v>
      </c>
    </row>
    <row r="86" customFormat="false" ht="15" hidden="false" customHeight="false" outlineLevel="0" collapsed="false">
      <c r="A86" s="8" t="s">
        <v>409</v>
      </c>
      <c r="B86" s="8" t="s">
        <v>606</v>
      </c>
      <c r="C86" s="8" t="s">
        <v>607</v>
      </c>
      <c r="D86" s="8" t="s">
        <v>21</v>
      </c>
      <c r="E86" s="8" t="n">
        <v>716</v>
      </c>
      <c r="F86" s="38" t="n">
        <f aca="false">IFERROR(VALUE(SUBSTITUTE(SUBSTITUTE('MLBB INDOFLAZ'!E35,"Rp. ",""),".","")),'MLBB INDOFLAZ'!E35)</f>
        <v>187243</v>
      </c>
      <c r="G86" s="38" t="n">
        <f aca="false">IFERROR(VALUE(SUBSTITUTE(SUBSTITUTE('MLBB INDOFLAZ'!F35,"Rp. ",""),".","")),'MLBB INDOFLAZ'!F35)</f>
        <v>185425</v>
      </c>
      <c r="H86" s="38" t="n">
        <f aca="false">IFERROR(VALUE(SUBSTITUTE(SUBSTITUTE('MLBB INDOFLAZ'!G35,"Rp. ",""),".","")),'MLBB INDOFLAZ'!G35)</f>
        <v>183607</v>
      </c>
      <c r="I86" s="8" t="s">
        <v>2629</v>
      </c>
      <c r="J86" s="38" t="n">
        <f aca="false">'MLBB OURA STORE'!A112</f>
        <v>194233</v>
      </c>
      <c r="K86" s="39"/>
      <c r="L86" s="39"/>
      <c r="M86" s="8" t="n">
        <f aca="false">COUNT(J86:L86)</f>
        <v>1</v>
      </c>
      <c r="N86" s="40" t="str">
        <f aca="false">IF(M86&gt;0,"Ada","Tidak Ada")</f>
        <v>Ada</v>
      </c>
      <c r="O86" s="41" t="n">
        <f aca="false">IF(M86&gt;0,MIN(J86:L86),"-")</f>
        <v>194233</v>
      </c>
      <c r="P86" s="41" t="n">
        <f aca="false">IF(M86&gt;0,AVERAGE(J86:L86),"-")</f>
        <v>194233</v>
      </c>
      <c r="Q86" s="41" t="n">
        <f aca="false">IF(M86&gt;0,O86-G86,"-")</f>
        <v>8808</v>
      </c>
      <c r="R86" s="42" t="n">
        <f aca="false">IF(M86&gt;0,IFERROR(Q86/O86,"-"),"-")</f>
        <v>0.0453475979879835</v>
      </c>
      <c r="S86" s="41" t="n">
        <f aca="false">IF(M86&gt;0,ROUND(MAX(G86*1.08,O86*0.97)/100,0)*100,ROUND(G86*1.12/100,0)*100)</f>
        <v>200300</v>
      </c>
      <c r="T86" s="42" t="n">
        <f aca="false">IFERROR((S86-G86)/S86,"-")</f>
        <v>0.0742636045931103</v>
      </c>
    </row>
    <row r="87" customFormat="false" ht="15" hidden="false" customHeight="false" outlineLevel="0" collapsed="false">
      <c r="A87" s="8" t="s">
        <v>409</v>
      </c>
      <c r="B87" s="8" t="s">
        <v>612</v>
      </c>
      <c r="C87" s="8" t="s">
        <v>613</v>
      </c>
      <c r="D87" s="8" t="s">
        <v>21</v>
      </c>
      <c r="E87" s="8" t="n">
        <v>758</v>
      </c>
      <c r="F87" s="38" t="n">
        <f aca="false">IFERROR(VALUE(SUBSTITUTE(SUBSTITUTE('MLBB INDOFLAZ'!E36,"Rp. ",""),".","")),'MLBB INDOFLAZ'!E36)</f>
        <v>199098</v>
      </c>
      <c r="G87" s="38" t="n">
        <f aca="false">IFERROR(VALUE(SUBSTITUTE(SUBSTITUTE('MLBB INDOFLAZ'!F36,"Rp. ",""),".","")),'MLBB INDOFLAZ'!F36)</f>
        <v>197165</v>
      </c>
      <c r="H87" s="38" t="n">
        <f aca="false">IFERROR(VALUE(SUBSTITUTE(SUBSTITUTE('MLBB INDOFLAZ'!G36,"Rp. ",""),".","")),'MLBB INDOFLAZ'!G36)</f>
        <v>195232</v>
      </c>
      <c r="I87" s="8" t="s">
        <v>2625</v>
      </c>
      <c r="J87" s="39"/>
      <c r="K87" s="39"/>
      <c r="L87" s="39"/>
      <c r="M87" s="8" t="n">
        <f aca="false">COUNT(J87:L87)</f>
        <v>0</v>
      </c>
      <c r="N87" s="40" t="str">
        <f aca="false">IF(M87&gt;0,"Ada","Tidak Ada")</f>
        <v>Tidak Ada</v>
      </c>
      <c r="O87" s="41" t="str">
        <f aca="false">IF(M87&gt;0,MIN(J87:L87),"-")</f>
        <v>-</v>
      </c>
      <c r="P87" s="41" t="str">
        <f aca="false">IF(M87&gt;0,AVERAGE(J87:L87),"-")</f>
        <v>-</v>
      </c>
      <c r="Q87" s="41" t="str">
        <f aca="false">IF(M87&gt;0,O87-G87,"-")</f>
        <v>-</v>
      </c>
      <c r="R87" s="42" t="str">
        <f aca="false">IF(M87&gt;0,IFERROR(Q87/O87,"-"),"-")</f>
        <v>-</v>
      </c>
      <c r="S87" s="41" t="n">
        <f aca="false">IF(M87&gt;0,ROUND(MAX(G87*1.08,O87*0.97)/100,0)*100,ROUND(G87*1.12/100,0)*100)</f>
        <v>220800</v>
      </c>
      <c r="T87" s="42" t="n">
        <f aca="false">IFERROR((S87-G87)/S87,"-")</f>
        <v>0.107042572463768</v>
      </c>
    </row>
    <row r="88" customFormat="false" ht="15" hidden="false" customHeight="false" outlineLevel="0" collapsed="false">
      <c r="A88" s="8" t="s">
        <v>409</v>
      </c>
      <c r="B88" s="8" t="s">
        <v>618</v>
      </c>
      <c r="C88" s="8" t="s">
        <v>619</v>
      </c>
      <c r="D88" s="8" t="s">
        <v>21</v>
      </c>
      <c r="E88" s="8" t="n">
        <v>790</v>
      </c>
      <c r="F88" s="38" t="n">
        <f aca="false">IFERROR(VALUE(SUBSTITUTE(SUBSTITUTE('MLBB INDOFLAZ'!E37,"Rp. ",""),".","")),'MLBB INDOFLAZ'!E37)</f>
        <v>207110</v>
      </c>
      <c r="G88" s="38" t="n">
        <f aca="false">IFERROR(VALUE(SUBSTITUTE(SUBSTITUTE('MLBB INDOFLAZ'!F37,"Rp. ",""),".","")),'MLBB INDOFLAZ'!F37)</f>
        <v>205099</v>
      </c>
      <c r="H88" s="38" t="n">
        <f aca="false">IFERROR(VALUE(SUBSTITUTE(SUBSTITUTE('MLBB INDOFLAZ'!G37,"Rp. ",""),".","")),'MLBB INDOFLAZ'!G37)</f>
        <v>203088</v>
      </c>
      <c r="I88" s="8" t="s">
        <v>2629</v>
      </c>
      <c r="J88" s="38" t="n">
        <f aca="false">'MLBB OURA STORE'!A116</f>
        <v>214963</v>
      </c>
      <c r="K88" s="39"/>
      <c r="L88" s="39"/>
      <c r="M88" s="8" t="n">
        <f aca="false">COUNT(J88:L88)</f>
        <v>1</v>
      </c>
      <c r="N88" s="40" t="str">
        <f aca="false">IF(M88&gt;0,"Ada","Tidak Ada")</f>
        <v>Ada</v>
      </c>
      <c r="O88" s="41" t="n">
        <f aca="false">IF(M88&gt;0,MIN(J88:L88),"-")</f>
        <v>214963</v>
      </c>
      <c r="P88" s="41" t="n">
        <f aca="false">IF(M88&gt;0,AVERAGE(J88:L88),"-")</f>
        <v>214963</v>
      </c>
      <c r="Q88" s="41" t="n">
        <f aca="false">IF(M88&gt;0,O88-G88,"-")</f>
        <v>9864</v>
      </c>
      <c r="R88" s="42" t="n">
        <f aca="false">IF(M88&gt;0,IFERROR(Q88/O88,"-"),"-")</f>
        <v>0.0458869665942511</v>
      </c>
      <c r="S88" s="41" t="n">
        <f aca="false">IF(M88&gt;0,ROUND(MAX(G88*1.08,O88*0.97)/100,0)*100,ROUND(G88*1.12/100,0)*100)</f>
        <v>221500</v>
      </c>
      <c r="T88" s="42" t="n">
        <f aca="false">IFERROR((S88-G88)/S88,"-")</f>
        <v>0.0740451467268623</v>
      </c>
    </row>
    <row r="89" customFormat="false" ht="15" hidden="false" customHeight="false" outlineLevel="0" collapsed="false">
      <c r="A89" s="8" t="s">
        <v>409</v>
      </c>
      <c r="B89" s="8" t="s">
        <v>624</v>
      </c>
      <c r="C89" s="8" t="s">
        <v>625</v>
      </c>
      <c r="D89" s="8" t="s">
        <v>21</v>
      </c>
      <c r="E89" s="8" t="n">
        <v>845</v>
      </c>
      <c r="F89" s="38" t="n">
        <f aca="false">IFERROR(VALUE(SUBSTITUTE(SUBSTITUTE('MLBB INDOFLAZ'!E38,"Rp. ",""),".","")),'MLBB INDOFLAZ'!E38)</f>
        <v>222010</v>
      </c>
      <c r="G89" s="38" t="n">
        <f aca="false">IFERROR(VALUE(SUBSTITUTE(SUBSTITUTE('MLBB INDOFLAZ'!F38,"Rp. ",""),".","")),'MLBB INDOFLAZ'!F38)</f>
        <v>219854</v>
      </c>
      <c r="H89" s="38" t="n">
        <f aca="false">IFERROR(VALUE(SUBSTITUTE(SUBSTITUTE('MLBB INDOFLAZ'!G38,"Rp. ",""),".","")),'MLBB INDOFLAZ'!G38)</f>
        <v>217699</v>
      </c>
      <c r="I89" s="8" t="s">
        <v>2625</v>
      </c>
      <c r="J89" s="39"/>
      <c r="K89" s="39"/>
      <c r="L89" s="39"/>
      <c r="M89" s="8" t="n">
        <f aca="false">COUNT(J89:L89)</f>
        <v>0</v>
      </c>
      <c r="N89" s="40" t="str">
        <f aca="false">IF(M89&gt;0,"Ada","Tidak Ada")</f>
        <v>Tidak Ada</v>
      </c>
      <c r="O89" s="41" t="str">
        <f aca="false">IF(M89&gt;0,MIN(J89:L89),"-")</f>
        <v>-</v>
      </c>
      <c r="P89" s="41" t="str">
        <f aca="false">IF(M89&gt;0,AVERAGE(J89:L89),"-")</f>
        <v>-</v>
      </c>
      <c r="Q89" s="41" t="str">
        <f aca="false">IF(M89&gt;0,O89-G89,"-")</f>
        <v>-</v>
      </c>
      <c r="R89" s="42" t="str">
        <f aca="false">IF(M89&gt;0,IFERROR(Q89/O89,"-"),"-")</f>
        <v>-</v>
      </c>
      <c r="S89" s="41" t="n">
        <f aca="false">IF(M89&gt;0,ROUND(MAX(G89*1.08,O89*0.97)/100,0)*100,ROUND(G89*1.12/100,0)*100)</f>
        <v>246200</v>
      </c>
      <c r="T89" s="42" t="n">
        <f aca="false">IFERROR((S89-G89)/S89,"-")</f>
        <v>0.107010560519903</v>
      </c>
    </row>
    <row r="90" customFormat="false" ht="15" hidden="false" customHeight="false" outlineLevel="0" collapsed="false">
      <c r="A90" s="8" t="s">
        <v>409</v>
      </c>
      <c r="B90" s="8" t="s">
        <v>630</v>
      </c>
      <c r="C90" s="8" t="s">
        <v>631</v>
      </c>
      <c r="D90" s="8" t="s">
        <v>21</v>
      </c>
      <c r="E90" s="8" t="n">
        <v>938</v>
      </c>
      <c r="F90" s="38" t="n">
        <f aca="false">IFERROR(VALUE(SUBSTITUTE(SUBSTITUTE('MLBB INDOFLAZ'!E39,"Rp. ",""),".","")),'MLBB INDOFLAZ'!E39)</f>
        <v>246843</v>
      </c>
      <c r="G90" s="38" t="n">
        <f aca="false">IFERROR(VALUE(SUBSTITUTE(SUBSTITUTE('MLBB INDOFLAZ'!F39,"Rp. ",""),".","")),'MLBB INDOFLAZ'!F39)</f>
        <v>244447</v>
      </c>
      <c r="H90" s="38" t="n">
        <f aca="false">IFERROR(VALUE(SUBSTITUTE(SUBSTITUTE('MLBB INDOFLAZ'!G39,"Rp. ",""),".","")),'MLBB INDOFLAZ'!G39)</f>
        <v>242050</v>
      </c>
      <c r="I90" s="8" t="s">
        <v>2625</v>
      </c>
      <c r="J90" s="39"/>
      <c r="K90" s="39"/>
      <c r="L90" s="39"/>
      <c r="M90" s="8" t="n">
        <f aca="false">COUNT(J90:L90)</f>
        <v>0</v>
      </c>
      <c r="N90" s="40" t="str">
        <f aca="false">IF(M90&gt;0,"Ada","Tidak Ada")</f>
        <v>Tidak Ada</v>
      </c>
      <c r="O90" s="41" t="str">
        <f aca="false">IF(M90&gt;0,MIN(J90:L90),"-")</f>
        <v>-</v>
      </c>
      <c r="P90" s="41" t="str">
        <f aca="false">IF(M90&gt;0,AVERAGE(J90:L90),"-")</f>
        <v>-</v>
      </c>
      <c r="Q90" s="41" t="str">
        <f aca="false">IF(M90&gt;0,O90-G90,"-")</f>
        <v>-</v>
      </c>
      <c r="R90" s="42" t="str">
        <f aca="false">IF(M90&gt;0,IFERROR(Q90/O90,"-"),"-")</f>
        <v>-</v>
      </c>
      <c r="S90" s="41" t="n">
        <f aca="false">IF(M90&gt;0,ROUND(MAX(G90*1.08,O90*0.97)/100,0)*100,ROUND(G90*1.12/100,0)*100)</f>
        <v>273800</v>
      </c>
      <c r="T90" s="42" t="n">
        <f aca="false">IFERROR((S90-G90)/S90,"-")</f>
        <v>0.107205989773557</v>
      </c>
    </row>
    <row r="91" customFormat="false" ht="15" hidden="false" customHeight="false" outlineLevel="0" collapsed="false">
      <c r="A91" s="8" t="s">
        <v>409</v>
      </c>
      <c r="B91" s="8" t="s">
        <v>636</v>
      </c>
      <c r="C91" s="8" t="s">
        <v>637</v>
      </c>
      <c r="D91" s="8" t="s">
        <v>21</v>
      </c>
      <c r="E91" s="8" t="n">
        <v>966</v>
      </c>
      <c r="F91" s="38" t="n">
        <f aca="false">IFERROR(VALUE(SUBSTITUTE(SUBSTITUTE('MLBB INDOFLAZ'!E40,"Rp. ",""),".","")),'MLBB INDOFLAZ'!E40)</f>
        <v>254790</v>
      </c>
      <c r="G91" s="38" t="n">
        <f aca="false">IFERROR(VALUE(SUBSTITUTE(SUBSTITUTE('MLBB INDOFLAZ'!F40,"Rp. ",""),".","")),'MLBB INDOFLAZ'!F40)</f>
        <v>252316</v>
      </c>
      <c r="H91" s="38" t="n">
        <f aca="false">IFERROR(VALUE(SUBSTITUTE(SUBSTITUTE('MLBB INDOFLAZ'!G40,"Rp. ",""),".","")),'MLBB INDOFLAZ'!G40)</f>
        <v>249842</v>
      </c>
      <c r="I91" s="8" t="s">
        <v>2629</v>
      </c>
      <c r="J91" s="38" t="n">
        <f aca="false">'MLBB OURA STORE'!A120</f>
        <v>259133</v>
      </c>
      <c r="K91" s="39"/>
      <c r="L91" s="39"/>
      <c r="M91" s="8" t="n">
        <f aca="false">COUNT(J91:L91)</f>
        <v>1</v>
      </c>
      <c r="N91" s="40" t="str">
        <f aca="false">IF(M91&gt;0,"Ada","Tidak Ada")</f>
        <v>Ada</v>
      </c>
      <c r="O91" s="41" t="n">
        <f aca="false">IF(M91&gt;0,MIN(J91:L91),"-")</f>
        <v>259133</v>
      </c>
      <c r="P91" s="41" t="n">
        <f aca="false">IF(M91&gt;0,AVERAGE(J91:L91),"-")</f>
        <v>259133</v>
      </c>
      <c r="Q91" s="41" t="n">
        <f aca="false">IF(M91&gt;0,O91-G91,"-")</f>
        <v>6817</v>
      </c>
      <c r="R91" s="42" t="n">
        <f aca="false">IF(M91&gt;0,IFERROR(Q91/O91,"-"),"-")</f>
        <v>0.0263069543439083</v>
      </c>
      <c r="S91" s="41" t="n">
        <f aca="false">IF(M91&gt;0,ROUND(MAX(G91*1.08,O91*0.97)/100,0)*100,ROUND(G91*1.12/100,0)*100)</f>
        <v>272500</v>
      </c>
      <c r="T91" s="42" t="n">
        <f aca="false">IFERROR((S91-G91)/S91,"-")</f>
        <v>0.0740697247706422</v>
      </c>
    </row>
    <row r="92" customFormat="false" ht="15" hidden="false" customHeight="false" outlineLevel="0" collapsed="false">
      <c r="A92" s="8" t="s">
        <v>409</v>
      </c>
      <c r="B92" s="8" t="s">
        <v>642</v>
      </c>
      <c r="C92" s="8" t="s">
        <v>643</v>
      </c>
      <c r="D92" s="8" t="s">
        <v>21</v>
      </c>
      <c r="E92" s="8" t="n">
        <v>1045</v>
      </c>
      <c r="F92" s="38" t="n">
        <f aca="false">IFERROR(VALUE(SUBSTITUTE(SUBSTITUTE('MLBB INDOFLAZ'!E41,"Rp. ",""),".","")),'MLBB INDOFLAZ'!E41)</f>
        <v>271420</v>
      </c>
      <c r="G92" s="38" t="n">
        <f aca="false">IFERROR(VALUE(SUBSTITUTE(SUBSTITUTE('MLBB INDOFLAZ'!F41,"Rp. ",""),".","")),'MLBB INDOFLAZ'!F41)</f>
        <v>268785</v>
      </c>
      <c r="H92" s="38" t="n">
        <f aca="false">IFERROR(VALUE(SUBSTITUTE(SUBSTITUTE('MLBB INDOFLAZ'!G41,"Rp. ",""),".","")),'MLBB INDOFLAZ'!G41)</f>
        <v>266150</v>
      </c>
      <c r="I92" s="8" t="s">
        <v>2625</v>
      </c>
      <c r="J92" s="39"/>
      <c r="K92" s="39"/>
      <c r="L92" s="39"/>
      <c r="M92" s="8" t="n">
        <f aca="false">COUNT(J92:L92)</f>
        <v>0</v>
      </c>
      <c r="N92" s="40" t="str">
        <f aca="false">IF(M92&gt;0,"Ada","Tidak Ada")</f>
        <v>Tidak Ada</v>
      </c>
      <c r="O92" s="41" t="str">
        <f aca="false">IF(M92&gt;0,MIN(J92:L92),"-")</f>
        <v>-</v>
      </c>
      <c r="P92" s="41" t="str">
        <f aca="false">IF(M92&gt;0,AVERAGE(J92:L92),"-")</f>
        <v>-</v>
      </c>
      <c r="Q92" s="41" t="str">
        <f aca="false">IF(M92&gt;0,O92-G92,"-")</f>
        <v>-</v>
      </c>
      <c r="R92" s="42" t="str">
        <f aca="false">IF(M92&gt;0,IFERROR(Q92/O92,"-"),"-")</f>
        <v>-</v>
      </c>
      <c r="S92" s="41" t="n">
        <f aca="false">IF(M92&gt;0,ROUND(MAX(G92*1.08,O92*0.97)/100,0)*100,ROUND(G92*1.12/100,0)*100)</f>
        <v>301000</v>
      </c>
      <c r="T92" s="42" t="n">
        <f aca="false">IFERROR((S92-G92)/S92,"-")</f>
        <v>0.10702657807309</v>
      </c>
    </row>
    <row r="93" customFormat="false" ht="15" hidden="false" customHeight="false" outlineLevel="0" collapsed="false">
      <c r="A93" s="8" t="s">
        <v>409</v>
      </c>
      <c r="B93" s="8" t="s">
        <v>648</v>
      </c>
      <c r="C93" s="8" t="s">
        <v>649</v>
      </c>
      <c r="D93" s="8" t="s">
        <v>21</v>
      </c>
      <c r="E93" s="8" t="n">
        <v>1136</v>
      </c>
      <c r="F93" s="38" t="n">
        <f aca="false">IFERROR(VALUE(SUBSTITUTE(SUBSTITUTE('MLBB INDOFLAZ'!E42,"Rp. ",""),".","")),'MLBB INDOFLAZ'!E42)</f>
        <v>295019</v>
      </c>
      <c r="G93" s="38" t="n">
        <f aca="false">IFERROR(VALUE(SUBSTITUTE(SUBSTITUTE('MLBB INDOFLAZ'!F42,"Rp. ",""),".","")),'MLBB INDOFLAZ'!F42)</f>
        <v>292155</v>
      </c>
      <c r="H93" s="38" t="n">
        <f aca="false">IFERROR(VALUE(SUBSTITUTE(SUBSTITUTE('MLBB INDOFLAZ'!G42,"Rp. ",""),".","")),'MLBB INDOFLAZ'!G42)</f>
        <v>289291</v>
      </c>
      <c r="I93" s="8" t="s">
        <v>2629</v>
      </c>
      <c r="J93" s="38" t="n">
        <f aca="false">'MLBB OURA STORE'!A126</f>
        <v>305541</v>
      </c>
      <c r="K93" s="39"/>
      <c r="L93" s="39"/>
      <c r="M93" s="8" t="n">
        <f aca="false">COUNT(J93:L93)</f>
        <v>1</v>
      </c>
      <c r="N93" s="40" t="str">
        <f aca="false">IF(M93&gt;0,"Ada","Tidak Ada")</f>
        <v>Ada</v>
      </c>
      <c r="O93" s="41" t="n">
        <f aca="false">IF(M93&gt;0,MIN(J93:L93),"-")</f>
        <v>305541</v>
      </c>
      <c r="P93" s="41" t="n">
        <f aca="false">IF(M93&gt;0,AVERAGE(J93:L93),"-")</f>
        <v>305541</v>
      </c>
      <c r="Q93" s="41" t="n">
        <f aca="false">IF(M93&gt;0,O93-G93,"-")</f>
        <v>13386</v>
      </c>
      <c r="R93" s="42" t="n">
        <f aca="false">IF(M93&gt;0,IFERROR(Q93/O93,"-"),"-")</f>
        <v>0.0438108142606066</v>
      </c>
      <c r="S93" s="41" t="n">
        <f aca="false">IF(M93&gt;0,ROUND(MAX(G93*1.08,O93*0.97)/100,0)*100,ROUND(G93*1.12/100,0)*100)</f>
        <v>315500</v>
      </c>
      <c r="T93" s="42" t="n">
        <f aca="false">IFERROR((S93-G93)/S93,"-")</f>
        <v>0.0739936608557845</v>
      </c>
    </row>
    <row r="94" customFormat="false" ht="15" hidden="false" customHeight="false" outlineLevel="0" collapsed="false">
      <c r="A94" s="8" t="s">
        <v>409</v>
      </c>
      <c r="B94" s="8" t="s">
        <v>654</v>
      </c>
      <c r="C94" s="8" t="s">
        <v>655</v>
      </c>
      <c r="D94" s="8" t="s">
        <v>21</v>
      </c>
      <c r="E94" s="8" t="n">
        <v>1506</v>
      </c>
      <c r="F94" s="38" t="n">
        <f aca="false">IFERROR(VALUE(SUBSTITUTE(SUBSTITUTE('MLBB INDOFLAZ'!E43,"Rp. ",""),".","")),'MLBB INDOFLAZ'!E43)</f>
        <v>394352</v>
      </c>
      <c r="G94" s="38" t="n">
        <f aca="false">IFERROR(VALUE(SUBSTITUTE(SUBSTITUTE('MLBB INDOFLAZ'!F43,"Rp. ",""),".","")),'MLBB INDOFLAZ'!F43)</f>
        <v>390524</v>
      </c>
      <c r="H94" s="38" t="n">
        <f aca="false">IFERROR(VALUE(SUBSTITUTE(SUBSTITUTE('MLBB INDOFLAZ'!G43,"Rp. ",""),".","")),'MLBB INDOFLAZ'!G43)</f>
        <v>386695</v>
      </c>
      <c r="I94" s="8" t="s">
        <v>2629</v>
      </c>
      <c r="J94" s="38" t="n">
        <f aca="false">'MLBB OURA STORE'!A130</f>
        <v>409194</v>
      </c>
      <c r="K94" s="39"/>
      <c r="L94" s="39"/>
      <c r="M94" s="8" t="n">
        <f aca="false">COUNT(J94:L94)</f>
        <v>1</v>
      </c>
      <c r="N94" s="40" t="str">
        <f aca="false">IF(M94&gt;0,"Ada","Tidak Ada")</f>
        <v>Ada</v>
      </c>
      <c r="O94" s="41" t="n">
        <f aca="false">IF(M94&gt;0,MIN(J94:L94),"-")</f>
        <v>409194</v>
      </c>
      <c r="P94" s="41" t="n">
        <f aca="false">IF(M94&gt;0,AVERAGE(J94:L94),"-")</f>
        <v>409194</v>
      </c>
      <c r="Q94" s="41" t="n">
        <f aca="false">IF(M94&gt;0,O94-G94,"-")</f>
        <v>18670</v>
      </c>
      <c r="R94" s="42" t="n">
        <f aca="false">IF(M94&gt;0,IFERROR(Q94/O94,"-"),"-")</f>
        <v>0.0456262799552291</v>
      </c>
      <c r="S94" s="41" t="n">
        <f aca="false">IF(M94&gt;0,ROUND(MAX(G94*1.08,O94*0.97)/100,0)*100,ROUND(G94*1.12/100,0)*100)</f>
        <v>421800</v>
      </c>
      <c r="T94" s="42" t="n">
        <f aca="false">IFERROR((S94-G94)/S94,"-")</f>
        <v>0.0741488857278331</v>
      </c>
    </row>
    <row r="95" customFormat="false" ht="15" hidden="false" customHeight="false" outlineLevel="0" collapsed="false">
      <c r="A95" s="8" t="s">
        <v>409</v>
      </c>
      <c r="B95" s="8" t="s">
        <v>660</v>
      </c>
      <c r="C95" s="8" t="s">
        <v>661</v>
      </c>
      <c r="D95" s="8" t="s">
        <v>21</v>
      </c>
      <c r="E95" s="8" t="n">
        <v>1704</v>
      </c>
      <c r="F95" s="38" t="n">
        <f aca="false">IFERROR(VALUE(SUBSTITUTE(SUBSTITUTE('MLBB INDOFLAZ'!E44,"Rp. ",""),".","")),'MLBB INDOFLAZ'!E44)</f>
        <v>442529</v>
      </c>
      <c r="G95" s="38" t="n">
        <f aca="false">IFERROR(VALUE(SUBSTITUTE(SUBSTITUTE('MLBB INDOFLAZ'!F44,"Rp. ",""),".","")),'MLBB INDOFLAZ'!F44)</f>
        <v>438232</v>
      </c>
      <c r="H95" s="38" t="n">
        <f aca="false">IFERROR(VALUE(SUBSTITUTE(SUBSTITUTE('MLBB INDOFLAZ'!G44,"Rp. ",""),".","")),'MLBB INDOFLAZ'!G44)</f>
        <v>433936</v>
      </c>
      <c r="I95" s="8" t="s">
        <v>2629</v>
      </c>
      <c r="J95" s="38" t="n">
        <f aca="false">'MLBB OURA STORE'!A132</f>
        <v>458311</v>
      </c>
      <c r="K95" s="39"/>
      <c r="L95" s="39"/>
      <c r="M95" s="8" t="n">
        <f aca="false">COUNT(J95:L95)</f>
        <v>1</v>
      </c>
      <c r="N95" s="40" t="str">
        <f aca="false">IF(M95&gt;0,"Ada","Tidak Ada")</f>
        <v>Ada</v>
      </c>
      <c r="O95" s="41" t="n">
        <f aca="false">IF(M95&gt;0,MIN(J95:L95),"-")</f>
        <v>458311</v>
      </c>
      <c r="P95" s="41" t="n">
        <f aca="false">IF(M95&gt;0,AVERAGE(J95:L95),"-")</f>
        <v>458311</v>
      </c>
      <c r="Q95" s="41" t="n">
        <f aca="false">IF(M95&gt;0,O95-G95,"-")</f>
        <v>20079</v>
      </c>
      <c r="R95" s="42" t="n">
        <f aca="false">IF(M95&gt;0,IFERROR(Q95/O95,"-"),"-")</f>
        <v>0.0438108620565511</v>
      </c>
      <c r="S95" s="41" t="n">
        <f aca="false">IF(M95&gt;0,ROUND(MAX(G95*1.08,O95*0.97)/100,0)*100,ROUND(G95*1.12/100,0)*100)</f>
        <v>473300</v>
      </c>
      <c r="T95" s="42" t="n">
        <f aca="false">IFERROR((S95-G95)/S95,"-")</f>
        <v>0.0740925417282907</v>
      </c>
    </row>
    <row r="96" customFormat="false" ht="15" hidden="false" customHeight="false" outlineLevel="0" collapsed="false">
      <c r="A96" s="8" t="s">
        <v>409</v>
      </c>
      <c r="B96" s="8" t="s">
        <v>666</v>
      </c>
      <c r="C96" s="8" t="s">
        <v>667</v>
      </c>
      <c r="D96" s="8" t="s">
        <v>21</v>
      </c>
      <c r="E96" s="8" t="n">
        <v>2232</v>
      </c>
      <c r="F96" s="38" t="n">
        <f aca="false">IFERROR(VALUE(SUBSTITUTE(SUBSTITUTE('MLBB INDOFLAZ'!E45,"Rp. ",""),".","")),'MLBB INDOFLAZ'!E45)</f>
        <v>551122</v>
      </c>
      <c r="G96" s="38" t="n">
        <f aca="false">IFERROR(VALUE(SUBSTITUTE(SUBSTITUTE('MLBB INDOFLAZ'!F45,"Rp. ",""),".","")),'MLBB INDOFLAZ'!F45)</f>
        <v>545771</v>
      </c>
      <c r="H96" s="38" t="n">
        <f aca="false">IFERROR(VALUE(SUBSTITUTE(SUBSTITUTE('MLBB INDOFLAZ'!G45,"Rp. ",""),".","")),'MLBB INDOFLAZ'!G45)</f>
        <v>540420</v>
      </c>
      <c r="I96" s="8" t="s">
        <v>2625</v>
      </c>
      <c r="J96" s="39"/>
      <c r="K96" s="39"/>
      <c r="L96" s="39"/>
      <c r="M96" s="8" t="n">
        <f aca="false">COUNT(J96:L96)</f>
        <v>0</v>
      </c>
      <c r="N96" s="40" t="str">
        <f aca="false">IF(M96&gt;0,"Ada","Tidak Ada")</f>
        <v>Tidak Ada</v>
      </c>
      <c r="O96" s="41" t="str">
        <f aca="false">IF(M96&gt;0,MIN(J96:L96),"-")</f>
        <v>-</v>
      </c>
      <c r="P96" s="41" t="str">
        <f aca="false">IF(M96&gt;0,AVERAGE(J96:L96),"-")</f>
        <v>-</v>
      </c>
      <c r="Q96" s="41" t="str">
        <f aca="false">IF(M96&gt;0,O96-G96,"-")</f>
        <v>-</v>
      </c>
      <c r="R96" s="42" t="str">
        <f aca="false">IF(M96&gt;0,IFERROR(Q96/O96,"-"),"-")</f>
        <v>-</v>
      </c>
      <c r="S96" s="41" t="n">
        <f aca="false">IF(M96&gt;0,ROUND(MAX(G96*1.08,O96*0.97)/100,0)*100,ROUND(G96*1.12/100,0)*100)</f>
        <v>611300</v>
      </c>
      <c r="T96" s="42" t="n">
        <f aca="false">IFERROR((S96-G96)/S96,"-")</f>
        <v>0.107196139375102</v>
      </c>
    </row>
    <row r="97" customFormat="false" ht="15" hidden="false" customHeight="false" outlineLevel="0" collapsed="false">
      <c r="A97" s="8" t="s">
        <v>409</v>
      </c>
      <c r="B97" s="8" t="s">
        <v>672</v>
      </c>
      <c r="C97" s="8" t="s">
        <v>673</v>
      </c>
      <c r="D97" s="8" t="s">
        <v>21</v>
      </c>
      <c r="E97" s="8" t="n">
        <v>2380</v>
      </c>
      <c r="F97" s="38" t="n">
        <f aca="false">IFERROR(VALUE(SUBSTITUTE(SUBSTITUTE('MLBB INDOFLAZ'!E46,"Rp. ",""),".","")),'MLBB INDOFLAZ'!E46)</f>
        <v>590855</v>
      </c>
      <c r="G97" s="38" t="n">
        <f aca="false">IFERROR(VALUE(SUBSTITUTE(SUBSTITUTE('MLBB INDOFLAZ'!F46,"Rp. ",""),".","")),'MLBB INDOFLAZ'!F46)</f>
        <v>585118</v>
      </c>
      <c r="H97" s="38" t="n">
        <f aca="false">IFERROR(VALUE(SUBSTITUTE(SUBSTITUTE('MLBB INDOFLAZ'!G46,"Rp. ",""),".","")),'MLBB INDOFLAZ'!G46)</f>
        <v>579382</v>
      </c>
      <c r="I97" s="8" t="s">
        <v>2629</v>
      </c>
      <c r="J97" s="38" t="n">
        <f aca="false">'MLBB OURA STORE'!A136</f>
        <v>612887</v>
      </c>
      <c r="K97" s="39"/>
      <c r="L97" s="39"/>
      <c r="M97" s="8" t="n">
        <f aca="false">COUNT(J97:L97)</f>
        <v>1</v>
      </c>
      <c r="N97" s="40" t="str">
        <f aca="false">IF(M97&gt;0,"Ada","Tidak Ada")</f>
        <v>Ada</v>
      </c>
      <c r="O97" s="41" t="n">
        <f aca="false">IF(M97&gt;0,MIN(J97:L97),"-")</f>
        <v>612887</v>
      </c>
      <c r="P97" s="41" t="n">
        <f aca="false">IF(M97&gt;0,AVERAGE(J97:L97),"-")</f>
        <v>612887</v>
      </c>
      <c r="Q97" s="41" t="n">
        <f aca="false">IF(M97&gt;0,O97-G97,"-")</f>
        <v>27769</v>
      </c>
      <c r="R97" s="42" t="n">
        <f aca="false">IF(M97&gt;0,IFERROR(Q97/O97,"-"),"-")</f>
        <v>0.0453085152727991</v>
      </c>
      <c r="S97" s="41" t="n">
        <f aca="false">IF(M97&gt;0,ROUND(MAX(G97*1.08,O97*0.97)/100,0)*100,ROUND(G97*1.12/100,0)*100)</f>
        <v>631900</v>
      </c>
      <c r="T97" s="42" t="n">
        <f aca="false">IFERROR((S97-G97)/S97,"-")</f>
        <v>0.0740338661180567</v>
      </c>
    </row>
    <row r="98" customFormat="false" ht="15" hidden="false" customHeight="false" outlineLevel="0" collapsed="false">
      <c r="A98" s="8" t="s">
        <v>409</v>
      </c>
      <c r="B98" s="8" t="s">
        <v>678</v>
      </c>
      <c r="C98" s="8" t="s">
        <v>679</v>
      </c>
      <c r="D98" s="8" t="s">
        <v>21</v>
      </c>
      <c r="E98" s="8" t="n">
        <v>2625</v>
      </c>
      <c r="F98" s="38" t="n">
        <f aca="false">IFERROR(VALUE(SUBSTITUTE(SUBSTITUTE('MLBB INDOFLAZ'!E47,"Rp. ",""),".","")),'MLBB INDOFLAZ'!E47)</f>
        <v>652330</v>
      </c>
      <c r="G98" s="38" t="n">
        <f aca="false">IFERROR(VALUE(SUBSTITUTE(SUBSTITUTE('MLBB INDOFLAZ'!F47,"Rp. ",""),".","")),'MLBB INDOFLAZ'!F47)</f>
        <v>645997</v>
      </c>
      <c r="H98" s="38" t="n">
        <f aca="false">IFERROR(VALUE(SUBSTITUTE(SUBSTITUTE('MLBB INDOFLAZ'!G47,"Rp. ",""),".","")),'MLBB INDOFLAZ'!G47)</f>
        <v>639664</v>
      </c>
      <c r="I98" s="8" t="s">
        <v>2625</v>
      </c>
      <c r="J98" s="39"/>
      <c r="K98" s="39"/>
      <c r="L98" s="39"/>
      <c r="M98" s="8" t="n">
        <f aca="false">COUNT(J98:L98)</f>
        <v>0</v>
      </c>
      <c r="N98" s="40" t="str">
        <f aca="false">IF(M98&gt;0,"Ada","Tidak Ada")</f>
        <v>Tidak Ada</v>
      </c>
      <c r="O98" s="41" t="str">
        <f aca="false">IF(M98&gt;0,MIN(J98:L98),"-")</f>
        <v>-</v>
      </c>
      <c r="P98" s="41" t="str">
        <f aca="false">IF(M98&gt;0,AVERAGE(J98:L98),"-")</f>
        <v>-</v>
      </c>
      <c r="Q98" s="41" t="str">
        <f aca="false">IF(M98&gt;0,O98-G98,"-")</f>
        <v>-</v>
      </c>
      <c r="R98" s="42" t="str">
        <f aca="false">IF(M98&gt;0,IFERROR(Q98/O98,"-"),"-")</f>
        <v>-</v>
      </c>
      <c r="S98" s="41" t="n">
        <f aca="false">IF(M98&gt;0,ROUND(MAX(G98*1.08,O98*0.97)/100,0)*100,ROUND(G98*1.12/100,0)*100)</f>
        <v>723500</v>
      </c>
      <c r="T98" s="42" t="n">
        <f aca="false">IFERROR((S98-G98)/S98,"-")</f>
        <v>0.107122322045612</v>
      </c>
    </row>
    <row r="99" customFormat="false" ht="15" hidden="false" customHeight="false" outlineLevel="0" collapsed="false">
      <c r="A99" s="8" t="s">
        <v>409</v>
      </c>
      <c r="B99" s="8" t="s">
        <v>684</v>
      </c>
      <c r="C99" s="8" t="s">
        <v>685</v>
      </c>
      <c r="D99" s="8" t="s">
        <v>21</v>
      </c>
      <c r="E99" s="8" t="n">
        <v>3738</v>
      </c>
      <c r="F99" s="38" t="n">
        <f aca="false">IFERROR(VALUE(SUBSTITUTE(SUBSTITUTE('MLBB INDOFLAZ'!E48,"Rp. ",""),".","")),'MLBB INDOFLAZ'!E48)</f>
        <v>945474</v>
      </c>
      <c r="G99" s="38" t="n">
        <f aca="false">IFERROR(VALUE(SUBSTITUTE(SUBSTITUTE('MLBB INDOFLAZ'!F48,"Rp. ",""),".","")),'MLBB INDOFLAZ'!F48)</f>
        <v>936294</v>
      </c>
      <c r="H99" s="38" t="n">
        <f aca="false">IFERROR(VALUE(SUBSTITUTE(SUBSTITUTE('MLBB INDOFLAZ'!G48,"Rp. ",""),".","")),'MLBB INDOFLAZ'!G48)</f>
        <v>927115</v>
      </c>
      <c r="I99" s="8" t="s">
        <v>2629</v>
      </c>
      <c r="J99" s="38" t="n">
        <f aca="false">'MLBB OURA STORE'!A146</f>
        <v>980620</v>
      </c>
      <c r="K99" s="39"/>
      <c r="L99" s="39"/>
      <c r="M99" s="8" t="n">
        <f aca="false">COUNT(J99:L99)</f>
        <v>1</v>
      </c>
      <c r="N99" s="40" t="str">
        <f aca="false">IF(M99&gt;0,"Ada","Tidak Ada")</f>
        <v>Ada</v>
      </c>
      <c r="O99" s="41" t="n">
        <f aca="false">IF(M99&gt;0,MIN(J99:L99),"-")</f>
        <v>980620</v>
      </c>
      <c r="P99" s="41" t="n">
        <f aca="false">IF(M99&gt;0,AVERAGE(J99:L99),"-")</f>
        <v>980620</v>
      </c>
      <c r="Q99" s="41" t="n">
        <f aca="false">IF(M99&gt;0,O99-G99,"-")</f>
        <v>44326</v>
      </c>
      <c r="R99" s="42" t="n">
        <f aca="false">IF(M99&gt;0,IFERROR(Q99/O99,"-"),"-")</f>
        <v>0.045202015051702</v>
      </c>
      <c r="S99" s="41" t="n">
        <f aca="false">IF(M99&gt;0,ROUND(MAX(G99*1.08,O99*0.97)/100,0)*100,ROUND(G99*1.12/100,0)*100)</f>
        <v>1011200</v>
      </c>
      <c r="T99" s="42" t="n">
        <f aca="false">IFERROR((S99-G99)/S99,"-")</f>
        <v>0.0740763449367089</v>
      </c>
    </row>
    <row r="100" customFormat="false" ht="15" hidden="false" customHeight="false" outlineLevel="0" collapsed="false">
      <c r="A100" s="8" t="s">
        <v>409</v>
      </c>
      <c r="B100" s="8" t="s">
        <v>690</v>
      </c>
      <c r="C100" s="8" t="s">
        <v>691</v>
      </c>
      <c r="D100" s="8" t="s">
        <v>21</v>
      </c>
      <c r="E100" s="8" t="n">
        <v>4588</v>
      </c>
      <c r="F100" s="38" t="n">
        <f aca="false">IFERROR(VALUE(SUBSTITUTE(SUBSTITUTE('MLBB INDOFLAZ'!E49,"Rp. ",""),".","")),'MLBB INDOFLAZ'!E49)</f>
        <v>1130551</v>
      </c>
      <c r="G100" s="38" t="n">
        <f aca="false">IFERROR(VALUE(SUBSTITUTE(SUBSTITUTE('MLBB INDOFLAZ'!F49,"Rp. ",""),".","")),'MLBB INDOFLAZ'!F49)</f>
        <v>1119575</v>
      </c>
      <c r="H100" s="38" t="n">
        <f aca="false">IFERROR(VALUE(SUBSTITUTE(SUBSTITUTE('MLBB INDOFLAZ'!G49,"Rp. ",""),".","")),'MLBB INDOFLAZ'!G49)</f>
        <v>1108599</v>
      </c>
      <c r="I100" s="8" t="s">
        <v>2625</v>
      </c>
      <c r="J100" s="39"/>
      <c r="K100" s="39"/>
      <c r="L100" s="39"/>
      <c r="M100" s="8" t="n">
        <f aca="false">COUNT(J100:L100)</f>
        <v>0</v>
      </c>
      <c r="N100" s="40" t="str">
        <f aca="false">IF(M100&gt;0,"Ada","Tidak Ada")</f>
        <v>Tidak Ada</v>
      </c>
      <c r="O100" s="41" t="str">
        <f aca="false">IF(M100&gt;0,MIN(J100:L100),"-")</f>
        <v>-</v>
      </c>
      <c r="P100" s="41" t="str">
        <f aca="false">IF(M100&gt;0,AVERAGE(J100:L100),"-")</f>
        <v>-</v>
      </c>
      <c r="Q100" s="41" t="str">
        <f aca="false">IF(M100&gt;0,O100-G100,"-")</f>
        <v>-</v>
      </c>
      <c r="R100" s="42" t="str">
        <f aca="false">IF(M100&gt;0,IFERROR(Q100/O100,"-"),"-")</f>
        <v>-</v>
      </c>
      <c r="S100" s="41" t="n">
        <f aca="false">IF(M100&gt;0,ROUND(MAX(G100*1.08,O100*0.97)/100,0)*100,ROUND(G100*1.12/100,0)*100)</f>
        <v>1253900</v>
      </c>
      <c r="T100" s="42" t="n">
        <f aca="false">IFERROR((S100-G100)/S100,"-")</f>
        <v>0.107125767605072</v>
      </c>
    </row>
    <row r="101" customFormat="false" ht="15" hidden="false" customHeight="false" outlineLevel="0" collapsed="false">
      <c r="A101" s="8" t="s">
        <v>409</v>
      </c>
      <c r="B101" s="8" t="s">
        <v>696</v>
      </c>
      <c r="C101" s="8" t="s">
        <v>697</v>
      </c>
      <c r="D101" s="8" t="s">
        <v>21</v>
      </c>
      <c r="E101" s="8" t="n">
        <v>9660</v>
      </c>
      <c r="F101" s="38" t="n">
        <f aca="false">IFERROR(VALUE(SUBSTITUTE(SUBSTITUTE('MLBB INDOFLAZ'!E50,"Rp. ",""),".","")),'MLBB INDOFLAZ'!E50)</f>
        <v>2359084</v>
      </c>
      <c r="G101" s="38" t="n">
        <f aca="false">IFERROR(VALUE(SUBSTITUTE(SUBSTITUTE('MLBB INDOFLAZ'!F50,"Rp. ",""),".","")),'MLBB INDOFLAZ'!F50)</f>
        <v>2336180</v>
      </c>
      <c r="H101" s="38" t="n">
        <f aca="false">IFERROR(VALUE(SUBSTITUTE(SUBSTITUTE('MLBB INDOFLAZ'!G50,"Rp. ",""),".","")),'MLBB INDOFLAZ'!G50)</f>
        <v>2313276</v>
      </c>
      <c r="I101" s="8" t="s">
        <v>2629</v>
      </c>
      <c r="J101" s="38" t="n">
        <f aca="false">'MLBB OURA STORE'!A174</f>
        <v>2444315</v>
      </c>
      <c r="K101" s="39"/>
      <c r="L101" s="39"/>
      <c r="M101" s="8" t="n">
        <f aca="false">COUNT(J101:L101)</f>
        <v>1</v>
      </c>
      <c r="N101" s="40" t="str">
        <f aca="false">IF(M101&gt;0,"Ada","Tidak Ada")</f>
        <v>Ada</v>
      </c>
      <c r="O101" s="41" t="n">
        <f aca="false">IF(M101&gt;0,MIN(J101:L101),"-")</f>
        <v>2444315</v>
      </c>
      <c r="P101" s="41" t="n">
        <f aca="false">IF(M101&gt;0,AVERAGE(J101:L101),"-")</f>
        <v>2444315</v>
      </c>
      <c r="Q101" s="41" t="n">
        <f aca="false">IF(M101&gt;0,O101-G101,"-")</f>
        <v>108135</v>
      </c>
      <c r="R101" s="42" t="n">
        <f aca="false">IF(M101&gt;0,IFERROR(Q101/O101,"-"),"-")</f>
        <v>0.0442393881312351</v>
      </c>
      <c r="S101" s="41" t="n">
        <f aca="false">IF(M101&gt;0,ROUND(MAX(G101*1.08,O101*0.97)/100,0)*100,ROUND(G101*1.12/100,0)*100)</f>
        <v>2523100</v>
      </c>
      <c r="T101" s="42" t="n">
        <f aca="false">IFERROR((S101-G101)/S101,"-")</f>
        <v>0.0740834687487614</v>
      </c>
    </row>
    <row r="102" customFormat="false" ht="15" hidden="false" customHeight="false" outlineLevel="0" collapsed="false">
      <c r="A102" s="8" t="s">
        <v>409</v>
      </c>
      <c r="B102" s="8" t="s">
        <v>702</v>
      </c>
      <c r="C102" s="8" t="s">
        <v>703</v>
      </c>
      <c r="D102" s="8" t="s">
        <v>21</v>
      </c>
      <c r="E102" s="8" t="n">
        <v>14490</v>
      </c>
      <c r="F102" s="38" t="n">
        <f aca="false">IFERROR(VALUE(SUBSTITUTE(SUBSTITUTE('MLBB INDOFLAZ'!E51,"Rp. ",""),".","")),'MLBB INDOFLAZ'!E51)</f>
        <v>3538626</v>
      </c>
      <c r="G102" s="38" t="n">
        <f aca="false">IFERROR(VALUE(SUBSTITUTE(SUBSTITUTE('MLBB INDOFLAZ'!F51,"Rp. ",""),".","")),'MLBB INDOFLAZ'!F51)</f>
        <v>3504271</v>
      </c>
      <c r="H102" s="38" t="n">
        <f aca="false">IFERROR(VALUE(SUBSTITUTE(SUBSTITUTE('MLBB INDOFLAZ'!G51,"Rp. ",""),".","")),'MLBB INDOFLAZ'!G51)</f>
        <v>3469915</v>
      </c>
      <c r="I102" s="8" t="s">
        <v>2629</v>
      </c>
      <c r="J102" s="38" t="n">
        <f aca="false">'MLBB OURA STORE'!A178</f>
        <v>3666472</v>
      </c>
      <c r="K102" s="39"/>
      <c r="L102" s="39"/>
      <c r="M102" s="8" t="n">
        <f aca="false">COUNT(J102:L102)</f>
        <v>1</v>
      </c>
      <c r="N102" s="40" t="str">
        <f aca="false">IF(M102&gt;0,"Ada","Tidak Ada")</f>
        <v>Ada</v>
      </c>
      <c r="O102" s="41" t="n">
        <f aca="false">IF(M102&gt;0,MIN(J102:L102),"-")</f>
        <v>3666472</v>
      </c>
      <c r="P102" s="41" t="n">
        <f aca="false">IF(M102&gt;0,AVERAGE(J102:L102),"-")</f>
        <v>3666472</v>
      </c>
      <c r="Q102" s="41" t="n">
        <f aca="false">IF(M102&gt;0,O102-G102,"-")</f>
        <v>162201</v>
      </c>
      <c r="R102" s="42" t="n">
        <f aca="false">IF(M102&gt;0,IFERROR(Q102/O102,"-"),"-")</f>
        <v>0.04423898505157</v>
      </c>
      <c r="S102" s="41" t="n">
        <f aca="false">IF(M102&gt;0,ROUND(MAX(G102*1.08,O102*0.97)/100,0)*100,ROUND(G102*1.12/100,0)*100)</f>
        <v>3784600</v>
      </c>
      <c r="T102" s="42" t="n">
        <f aca="false">IFERROR((S102-G102)/S102,"-")</f>
        <v>0.0740709718332188</v>
      </c>
    </row>
    <row r="103" customFormat="false" ht="15" hidden="false" customHeight="false" outlineLevel="0" collapsed="false">
      <c r="A103" s="8" t="s">
        <v>409</v>
      </c>
      <c r="B103" s="8" t="s">
        <v>708</v>
      </c>
      <c r="C103" s="8" t="s">
        <v>709</v>
      </c>
      <c r="D103" s="8" t="s">
        <v>21</v>
      </c>
      <c r="E103" s="8" t="n">
        <v>18090</v>
      </c>
      <c r="F103" s="38" t="n">
        <f aca="false">IFERROR(VALUE(SUBSTITUTE(SUBSTITUTE('MLBB INDOFLAZ'!E52,"Rp. ",""),".","")),'MLBB INDOFLAZ'!E52)</f>
        <v>4423687</v>
      </c>
      <c r="G103" s="38" t="n">
        <f aca="false">IFERROR(VALUE(SUBSTITUTE(SUBSTITUTE('MLBB INDOFLAZ'!F52,"Rp. ",""),".","")),'MLBB INDOFLAZ'!F52)</f>
        <v>4380738</v>
      </c>
      <c r="H103" s="38" t="n">
        <f aca="false">IFERROR(VALUE(SUBSTITUTE(SUBSTITUTE('MLBB INDOFLAZ'!G52,"Rp. ",""),".","")),'MLBB INDOFLAZ'!G52)</f>
        <v>4337790</v>
      </c>
      <c r="I103" s="8" t="s">
        <v>2625</v>
      </c>
      <c r="J103" s="39"/>
      <c r="K103" s="39"/>
      <c r="L103" s="39"/>
      <c r="M103" s="8" t="n">
        <f aca="false">COUNT(J103:L103)</f>
        <v>0</v>
      </c>
      <c r="N103" s="40" t="str">
        <f aca="false">IF(M103&gt;0,"Ada","Tidak Ada")</f>
        <v>Tidak Ada</v>
      </c>
      <c r="O103" s="41" t="str">
        <f aca="false">IF(M103&gt;0,MIN(J103:L103),"-")</f>
        <v>-</v>
      </c>
      <c r="P103" s="41" t="str">
        <f aca="false">IF(M103&gt;0,AVERAGE(J103:L103),"-")</f>
        <v>-</v>
      </c>
      <c r="Q103" s="41" t="str">
        <f aca="false">IF(M103&gt;0,O103-G103,"-")</f>
        <v>-</v>
      </c>
      <c r="R103" s="42" t="str">
        <f aca="false">IF(M103&gt;0,IFERROR(Q103/O103,"-"),"-")</f>
        <v>-</v>
      </c>
      <c r="S103" s="41" t="n">
        <f aca="false">IF(M103&gt;0,ROUND(MAX(G103*1.08,O103*0.97)/100,0)*100,ROUND(G103*1.12/100,0)*100)</f>
        <v>4906400</v>
      </c>
      <c r="T103" s="42" t="n">
        <f aca="false">IFERROR((S103-G103)/S103,"-")</f>
        <v>0.107138023805642</v>
      </c>
    </row>
    <row r="104" customFormat="false" ht="15" hidden="false" customHeight="false" outlineLevel="0" collapsed="false">
      <c r="A104" s="8" t="s">
        <v>409</v>
      </c>
      <c r="B104" s="8" t="s">
        <v>714</v>
      </c>
      <c r="C104" s="8" t="s">
        <v>715</v>
      </c>
      <c r="D104" s="8" t="s">
        <v>21</v>
      </c>
      <c r="E104" s="8" t="n">
        <v>19320</v>
      </c>
      <c r="F104" s="38" t="n">
        <f aca="false">IFERROR(VALUE(SUBSTITUTE(SUBSTITUTE('MLBB INDOFLAZ'!E53,"Rp. ",""),".","")),'MLBB INDOFLAZ'!E53)</f>
        <v>4718168</v>
      </c>
      <c r="G104" s="38" t="n">
        <f aca="false">IFERROR(VALUE(SUBSTITUTE(SUBSTITUTE('MLBB INDOFLAZ'!F53,"Rp. ",""),".","")),'MLBB INDOFLAZ'!F53)</f>
        <v>4672360</v>
      </c>
      <c r="H104" s="38" t="n">
        <f aca="false">IFERROR(VALUE(SUBSTITUTE(SUBSTITUTE('MLBB INDOFLAZ'!G53,"Rp. ",""),".","")),'MLBB INDOFLAZ'!G53)</f>
        <v>4626553</v>
      </c>
      <c r="I104" s="8" t="s">
        <v>2625</v>
      </c>
      <c r="J104" s="39"/>
      <c r="K104" s="39"/>
      <c r="L104" s="39"/>
      <c r="M104" s="8" t="n">
        <f aca="false">COUNT(J104:L104)</f>
        <v>0</v>
      </c>
      <c r="N104" s="40" t="str">
        <f aca="false">IF(M104&gt;0,"Ada","Tidak Ada")</f>
        <v>Tidak Ada</v>
      </c>
      <c r="O104" s="41" t="str">
        <f aca="false">IF(M104&gt;0,MIN(J104:L104),"-")</f>
        <v>-</v>
      </c>
      <c r="P104" s="41" t="str">
        <f aca="false">IF(M104&gt;0,AVERAGE(J104:L104),"-")</f>
        <v>-</v>
      </c>
      <c r="Q104" s="41" t="str">
        <f aca="false">IF(M104&gt;0,O104-G104,"-")</f>
        <v>-</v>
      </c>
      <c r="R104" s="42" t="str">
        <f aca="false">IF(M104&gt;0,IFERROR(Q104/O104,"-"),"-")</f>
        <v>-</v>
      </c>
      <c r="S104" s="41" t="n">
        <f aca="false">IF(M104&gt;0,ROUND(MAX(G104*1.08,O104*0.97)/100,0)*100,ROUND(G104*1.12/100,0)*100)</f>
        <v>5233000</v>
      </c>
      <c r="T104" s="42" t="n">
        <f aca="false">IFERROR((S104-G104)/S104,"-")</f>
        <v>0.107135486336709</v>
      </c>
    </row>
    <row r="105" customFormat="false" ht="15" hidden="false" customHeight="false" outlineLevel="0" collapsed="false">
      <c r="A105" s="8" t="s">
        <v>877</v>
      </c>
      <c r="B105" s="8" t="s">
        <v>876</v>
      </c>
      <c r="C105" s="8" t="s">
        <v>878</v>
      </c>
      <c r="D105" s="8" t="s">
        <v>22</v>
      </c>
      <c r="E105" s="8" t="n">
        <v>5</v>
      </c>
      <c r="F105" s="38" t="n">
        <f aca="false">IFERROR(VALUE(SUBSTITUTE(SUBSTITUTE('FF INDOFLAZ'!E2,"Rp. ",""),".","")),'FF INDOFLAZ'!E2)</f>
        <v>822</v>
      </c>
      <c r="G105" s="38" t="n">
        <f aca="false">IFERROR(VALUE(SUBSTITUTE(SUBSTITUTE('FF INDOFLAZ'!F2,"Rp. ",""),".","")),'FF INDOFLAZ'!F2)</f>
        <v>814</v>
      </c>
      <c r="H105" s="38" t="n">
        <f aca="false">IFERROR(VALUE(SUBSTITUTE(SUBSTITUTE('FF INDOFLAZ'!G2,"Rp. ",""),".","")),'FF INDOFLAZ'!G2)</f>
        <v>806</v>
      </c>
      <c r="I105" s="8" t="s">
        <v>2630</v>
      </c>
      <c r="J105" s="38" t="n">
        <f aca="false">'FF OURA STORE'!A2</f>
        <v>974</v>
      </c>
      <c r="K105" s="39"/>
      <c r="L105" s="39"/>
      <c r="M105" s="8" t="n">
        <f aca="false">COUNT(J105:L105)</f>
        <v>1</v>
      </c>
      <c r="N105" s="40" t="str">
        <f aca="false">IF(M105&gt;0,"Ada","Tidak Ada")</f>
        <v>Ada</v>
      </c>
      <c r="O105" s="41" t="n">
        <f aca="false">IF(M105&gt;0,MIN(J105:L105),"-")</f>
        <v>974</v>
      </c>
      <c r="P105" s="41" t="n">
        <f aca="false">IF(M105&gt;0,AVERAGE(J105:L105),"-")</f>
        <v>974</v>
      </c>
      <c r="Q105" s="41" t="n">
        <f aca="false">IF(M105&gt;0,O105-G105,"-")</f>
        <v>160</v>
      </c>
      <c r="R105" s="42" t="n">
        <f aca="false">IF(M105&gt;0,IFERROR(Q105/O105,"-"),"-")</f>
        <v>0.164271047227926</v>
      </c>
      <c r="S105" s="41" t="n">
        <f aca="false">IF(M105&gt;0,ROUND(MAX(G105*1.08,O105*0.97)/100,0)*100,ROUND(G105*1.12/100,0)*100)</f>
        <v>900</v>
      </c>
      <c r="T105" s="42" t="n">
        <f aca="false">IFERROR((S105-G105)/S105,"-")</f>
        <v>0.0955555555555556</v>
      </c>
    </row>
    <row r="106" customFormat="false" ht="15" hidden="false" customHeight="false" outlineLevel="0" collapsed="false">
      <c r="A106" s="8" t="s">
        <v>877</v>
      </c>
      <c r="B106" s="8" t="s">
        <v>883</v>
      </c>
      <c r="C106" s="8" t="s">
        <v>884</v>
      </c>
      <c r="D106" s="8" t="s">
        <v>22</v>
      </c>
      <c r="E106" s="8" t="n">
        <v>10</v>
      </c>
      <c r="F106" s="38" t="n">
        <f aca="false">IFERROR(VALUE(SUBSTITUTE(SUBSTITUTE('FF INDOFLAZ'!E3,"Rp. ",""),".","")),'FF INDOFLAZ'!E3)</f>
        <v>1638</v>
      </c>
      <c r="G106" s="38" t="n">
        <f aca="false">IFERROR(VALUE(SUBSTITUTE(SUBSTITUTE('FF INDOFLAZ'!F3,"Rp. ",""),".","")),'FF INDOFLAZ'!F3)</f>
        <v>1622</v>
      </c>
      <c r="H106" s="38" t="n">
        <f aca="false">IFERROR(VALUE(SUBSTITUTE(SUBSTITUTE('FF INDOFLAZ'!G3,"Rp. ",""),".","")),'FF INDOFLAZ'!G3)</f>
        <v>1606</v>
      </c>
      <c r="I106" s="8" t="s">
        <v>2625</v>
      </c>
      <c r="J106" s="39"/>
      <c r="K106" s="39"/>
      <c r="L106" s="39"/>
      <c r="M106" s="8" t="n">
        <f aca="false">COUNT(J106:L106)</f>
        <v>0</v>
      </c>
      <c r="N106" s="40" t="str">
        <f aca="false">IF(M106&gt;0,"Ada","Tidak Ada")</f>
        <v>Tidak Ada</v>
      </c>
      <c r="O106" s="41" t="str">
        <f aca="false">IF(M106&gt;0,MIN(J106:L106),"-")</f>
        <v>-</v>
      </c>
      <c r="P106" s="41" t="str">
        <f aca="false">IF(M106&gt;0,AVERAGE(J106:L106),"-")</f>
        <v>-</v>
      </c>
      <c r="Q106" s="41" t="str">
        <f aca="false">IF(M106&gt;0,O106-G106,"-")</f>
        <v>-</v>
      </c>
      <c r="R106" s="42" t="str">
        <f aca="false">IF(M106&gt;0,IFERROR(Q106/O106,"-"),"-")</f>
        <v>-</v>
      </c>
      <c r="S106" s="41" t="n">
        <f aca="false">IF(M106&gt;0,ROUND(MAX(G106*1.08,O106*0.97)/100,0)*100,ROUND(G106*1.12/100,0)*100)</f>
        <v>1800</v>
      </c>
      <c r="T106" s="42" t="n">
        <f aca="false">IFERROR((S106-G106)/S106,"-")</f>
        <v>0.0988888888888889</v>
      </c>
    </row>
    <row r="107" customFormat="false" ht="15" hidden="false" customHeight="false" outlineLevel="0" collapsed="false">
      <c r="A107" s="8" t="s">
        <v>877</v>
      </c>
      <c r="B107" s="8" t="s">
        <v>889</v>
      </c>
      <c r="C107" s="8" t="s">
        <v>890</v>
      </c>
      <c r="D107" s="8" t="s">
        <v>22</v>
      </c>
      <c r="E107" s="8" t="n">
        <v>20</v>
      </c>
      <c r="F107" s="38" t="n">
        <f aca="false">IFERROR(VALUE(SUBSTITUTE(SUBSTITUTE('FF INDOFLAZ'!E4,"Rp. ",""),".","")),'FF INDOFLAZ'!E4)</f>
        <v>3199</v>
      </c>
      <c r="G107" s="38" t="n">
        <f aca="false">IFERROR(VALUE(SUBSTITUTE(SUBSTITUTE('FF INDOFLAZ'!F4,"Rp. ",""),".","")),'FF INDOFLAZ'!F4)</f>
        <v>3168</v>
      </c>
      <c r="H107" s="38" t="n">
        <f aca="false">IFERROR(VALUE(SUBSTITUTE(SUBSTITUTE('FF INDOFLAZ'!G4,"Rp. ",""),".","")),'FF INDOFLAZ'!G4)</f>
        <v>3137</v>
      </c>
      <c r="I107" s="8" t="s">
        <v>2631</v>
      </c>
      <c r="J107" s="38" t="n">
        <f aca="false">'FF OURA STORE'!A8</f>
        <v>3895</v>
      </c>
      <c r="K107" s="38" t="str">
        <f aca="false">'FF EMPE SHOP'!A5</f>
        <v>Rp 4.026,-</v>
      </c>
      <c r="L107" s="39"/>
      <c r="M107" s="8" t="n">
        <f aca="false">COUNT(J107:L107)</f>
        <v>1</v>
      </c>
      <c r="N107" s="40" t="str">
        <f aca="false">IF(M107&gt;0,"Ada","Tidak Ada")</f>
        <v>Ada</v>
      </c>
      <c r="O107" s="41" t="n">
        <f aca="false">IF(M107&gt;0,MIN(J107:L107),"-")</f>
        <v>3895</v>
      </c>
      <c r="P107" s="41" t="n">
        <f aca="false">IF(M107&gt;0,AVERAGE(J107:L107),"-")</f>
        <v>3895</v>
      </c>
      <c r="Q107" s="41" t="n">
        <f aca="false">IF(M107&gt;0,O107-G107,"-")</f>
        <v>727</v>
      </c>
      <c r="R107" s="42" t="n">
        <f aca="false">IF(M107&gt;0,IFERROR(Q107/O107,"-"),"-")</f>
        <v>0.186649550706033</v>
      </c>
      <c r="S107" s="41" t="n">
        <f aca="false">IF(M107&gt;0,ROUND(MAX(G107*1.08,O107*0.97)/100,0)*100,ROUND(G107*1.12/100,0)*100)</f>
        <v>3800</v>
      </c>
      <c r="T107" s="42" t="n">
        <f aca="false">IFERROR((S107-G107)/S107,"-")</f>
        <v>0.166315789473684</v>
      </c>
    </row>
    <row r="108" customFormat="false" ht="15" hidden="false" customHeight="false" outlineLevel="0" collapsed="false">
      <c r="A108" s="8" t="s">
        <v>877</v>
      </c>
      <c r="B108" s="8" t="s">
        <v>895</v>
      </c>
      <c r="C108" s="8" t="s">
        <v>896</v>
      </c>
      <c r="D108" s="8" t="s">
        <v>22</v>
      </c>
      <c r="E108" s="8" t="n">
        <v>30</v>
      </c>
      <c r="F108" s="38" t="n">
        <f aca="false">IFERROR(VALUE(SUBSTITUTE(SUBSTITUTE('FF INDOFLAZ'!E5,"Rp. ",""),".","")),'FF INDOFLAZ'!E5)</f>
        <v>4827</v>
      </c>
      <c r="G108" s="38" t="n">
        <f aca="false">IFERROR(VALUE(SUBSTITUTE(SUBSTITUTE('FF INDOFLAZ'!F5,"Rp. ",""),".","")),'FF INDOFLAZ'!F5)</f>
        <v>4780</v>
      </c>
      <c r="H108" s="38" t="n">
        <f aca="false">IFERROR(VALUE(SUBSTITUTE(SUBSTITUTE('FF INDOFLAZ'!G5,"Rp. ",""),".","")),'FF INDOFLAZ'!G5)</f>
        <v>4733</v>
      </c>
      <c r="I108" s="8" t="s">
        <v>2630</v>
      </c>
      <c r="J108" s="38" t="n">
        <f aca="false">'FF OURA STORE'!A12</f>
        <v>5843</v>
      </c>
      <c r="K108" s="39"/>
      <c r="L108" s="39"/>
      <c r="M108" s="8" t="n">
        <f aca="false">COUNT(J108:L108)</f>
        <v>1</v>
      </c>
      <c r="N108" s="40" t="str">
        <f aca="false">IF(M108&gt;0,"Ada","Tidak Ada")</f>
        <v>Ada</v>
      </c>
      <c r="O108" s="41" t="n">
        <f aca="false">IF(M108&gt;0,MIN(J108:L108),"-")</f>
        <v>5843</v>
      </c>
      <c r="P108" s="41" t="n">
        <f aca="false">IF(M108&gt;0,AVERAGE(J108:L108),"-")</f>
        <v>5843</v>
      </c>
      <c r="Q108" s="41" t="n">
        <f aca="false">IF(M108&gt;0,O108-G108,"-")</f>
        <v>1063</v>
      </c>
      <c r="R108" s="42" t="n">
        <f aca="false">IF(M108&gt;0,IFERROR(Q108/O108,"-"),"-")</f>
        <v>0.181927092247133</v>
      </c>
      <c r="S108" s="41" t="n">
        <f aca="false">IF(M108&gt;0,ROUND(MAX(G108*1.08,O108*0.97)/100,0)*100,ROUND(G108*1.12/100,0)*100)</f>
        <v>5700</v>
      </c>
      <c r="T108" s="42" t="n">
        <f aca="false">IFERROR((S108-G108)/S108,"-")</f>
        <v>0.16140350877193</v>
      </c>
    </row>
    <row r="109" customFormat="false" ht="15" hidden="false" customHeight="false" outlineLevel="0" collapsed="false">
      <c r="A109" s="8" t="s">
        <v>877</v>
      </c>
      <c r="B109" s="8" t="s">
        <v>901</v>
      </c>
      <c r="C109" s="8" t="s">
        <v>902</v>
      </c>
      <c r="D109" s="8" t="s">
        <v>22</v>
      </c>
      <c r="E109" s="8" t="n">
        <v>40</v>
      </c>
      <c r="F109" s="38" t="n">
        <f aca="false">IFERROR(VALUE(SUBSTITUTE(SUBSTITUTE('FF INDOFLAZ'!E6,"Rp. ",""),".","")),'FF INDOFLAZ'!E6)</f>
        <v>6355</v>
      </c>
      <c r="G109" s="38" t="n">
        <f aca="false">IFERROR(VALUE(SUBSTITUTE(SUBSTITUTE('FF INDOFLAZ'!F6,"Rp. ",""),".","")),'FF INDOFLAZ'!F6)</f>
        <v>6293</v>
      </c>
      <c r="H109" s="38" t="n">
        <f aca="false">IFERROR(VALUE(SUBSTITUTE(SUBSTITUTE('FF INDOFLAZ'!G6,"Rp. ",""),".","")),'FF INDOFLAZ'!G6)</f>
        <v>6231</v>
      </c>
      <c r="I109" s="8" t="s">
        <v>2625</v>
      </c>
      <c r="J109" s="39"/>
      <c r="K109" s="39"/>
      <c r="L109" s="39"/>
      <c r="M109" s="8" t="n">
        <f aca="false">COUNT(J109:L109)</f>
        <v>0</v>
      </c>
      <c r="N109" s="40" t="str">
        <f aca="false">IF(M109&gt;0,"Ada","Tidak Ada")</f>
        <v>Tidak Ada</v>
      </c>
      <c r="O109" s="41" t="str">
        <f aca="false">IF(M109&gt;0,MIN(J109:L109),"-")</f>
        <v>-</v>
      </c>
      <c r="P109" s="41" t="str">
        <f aca="false">IF(M109&gt;0,AVERAGE(J109:L109),"-")</f>
        <v>-</v>
      </c>
      <c r="Q109" s="41" t="str">
        <f aca="false">IF(M109&gt;0,O109-G109,"-")</f>
        <v>-</v>
      </c>
      <c r="R109" s="42" t="str">
        <f aca="false">IF(M109&gt;0,IFERROR(Q109/O109,"-"),"-")</f>
        <v>-</v>
      </c>
      <c r="S109" s="41" t="n">
        <f aca="false">IF(M109&gt;0,ROUND(MAX(G109*1.08,O109*0.97)/100,0)*100,ROUND(G109*1.12/100,0)*100)</f>
        <v>7000</v>
      </c>
      <c r="T109" s="42" t="n">
        <f aca="false">IFERROR((S109-G109)/S109,"-")</f>
        <v>0.101</v>
      </c>
    </row>
    <row r="110" customFormat="false" ht="15" hidden="false" customHeight="false" outlineLevel="0" collapsed="false">
      <c r="A110" s="8" t="s">
        <v>877</v>
      </c>
      <c r="B110" s="8" t="s">
        <v>907</v>
      </c>
      <c r="C110" s="8" t="s">
        <v>908</v>
      </c>
      <c r="D110" s="8" t="s">
        <v>22</v>
      </c>
      <c r="E110" s="8" t="n">
        <v>50</v>
      </c>
      <c r="F110" s="38" t="n">
        <f aca="false">IFERROR(VALUE(SUBSTITUTE(SUBSTITUTE('FF INDOFLAZ'!E7,"Rp. ",""),".","")),'FF INDOFLAZ'!E7)</f>
        <v>6538</v>
      </c>
      <c r="G110" s="38" t="n">
        <f aca="false">IFERROR(VALUE(SUBSTITUTE(SUBSTITUTE('FF INDOFLAZ'!F7,"Rp. ",""),".","")),'FF INDOFLAZ'!F7)</f>
        <v>6474</v>
      </c>
      <c r="H110" s="38" t="n">
        <f aca="false">IFERROR(VALUE(SUBSTITUTE(SUBSTITUTE('FF INDOFLAZ'!G7,"Rp. ",""),".","")),'FF INDOFLAZ'!G7)</f>
        <v>6411</v>
      </c>
      <c r="I110" s="8" t="s">
        <v>2630</v>
      </c>
      <c r="J110" s="38" t="n">
        <f aca="false">'FF OURA STORE'!A14</f>
        <v>7787</v>
      </c>
      <c r="K110" s="39"/>
      <c r="L110" s="39"/>
      <c r="M110" s="8" t="n">
        <f aca="false">COUNT(J110:L110)</f>
        <v>1</v>
      </c>
      <c r="N110" s="40" t="str">
        <f aca="false">IF(M110&gt;0,"Ada","Tidak Ada")</f>
        <v>Ada</v>
      </c>
      <c r="O110" s="41" t="n">
        <f aca="false">IF(M110&gt;0,MIN(J110:L110),"-")</f>
        <v>7787</v>
      </c>
      <c r="P110" s="41" t="n">
        <f aca="false">IF(M110&gt;0,AVERAGE(J110:L110),"-")</f>
        <v>7787</v>
      </c>
      <c r="Q110" s="41" t="n">
        <f aca="false">IF(M110&gt;0,O110-G110,"-")</f>
        <v>1313</v>
      </c>
      <c r="R110" s="42" t="n">
        <f aca="false">IF(M110&gt;0,IFERROR(Q110/O110,"-"),"-")</f>
        <v>0.168614357262104</v>
      </c>
      <c r="S110" s="41" t="n">
        <f aca="false">IF(M110&gt;0,ROUND(MAX(G110*1.08,O110*0.97)/100,0)*100,ROUND(G110*1.12/100,0)*100)</f>
        <v>7600</v>
      </c>
      <c r="T110" s="42" t="n">
        <f aca="false">IFERROR((S110-G110)/S110,"-")</f>
        <v>0.148157894736842</v>
      </c>
    </row>
    <row r="111" customFormat="false" ht="15" hidden="false" customHeight="false" outlineLevel="0" collapsed="false">
      <c r="A111" s="8" t="s">
        <v>877</v>
      </c>
      <c r="B111" s="8" t="s">
        <v>913</v>
      </c>
      <c r="C111" s="8" t="s">
        <v>914</v>
      </c>
      <c r="D111" s="8" t="s">
        <v>22</v>
      </c>
      <c r="E111" s="8" t="n">
        <v>55</v>
      </c>
      <c r="F111" s="38" t="n">
        <f aca="false">IFERROR(VALUE(SUBSTITUTE(SUBSTITUTE('FF INDOFLAZ'!E8,"Rp. ",""),".","")),'FF INDOFLAZ'!E8)</f>
        <v>7355</v>
      </c>
      <c r="G111" s="38" t="n">
        <f aca="false">IFERROR(VALUE(SUBSTITUTE(SUBSTITUTE('FF INDOFLAZ'!F8,"Rp. ",""),".","")),'FF INDOFLAZ'!F8)</f>
        <v>7283</v>
      </c>
      <c r="H111" s="38" t="n">
        <f aca="false">IFERROR(VALUE(SUBSTITUTE(SUBSTITUTE('FF INDOFLAZ'!G8,"Rp. ",""),".","")),'FF INDOFLAZ'!G8)</f>
        <v>7212</v>
      </c>
      <c r="I111" s="8" t="s">
        <v>2631</v>
      </c>
      <c r="J111" s="38" t="n">
        <f aca="false">'FF OURA STORE'!A16</f>
        <v>8761</v>
      </c>
      <c r="K111" s="38" t="str">
        <f aca="false">'FF EMPE SHOP'!A7</f>
        <v>Rp 9.059,-</v>
      </c>
      <c r="L111" s="39"/>
      <c r="M111" s="8" t="n">
        <f aca="false">COUNT(J111:L111)</f>
        <v>1</v>
      </c>
      <c r="N111" s="40" t="str">
        <f aca="false">IF(M111&gt;0,"Ada","Tidak Ada")</f>
        <v>Ada</v>
      </c>
      <c r="O111" s="41" t="n">
        <f aca="false">IF(M111&gt;0,MIN(J111:L111),"-")</f>
        <v>8761</v>
      </c>
      <c r="P111" s="41" t="n">
        <f aca="false">IF(M111&gt;0,AVERAGE(J111:L111),"-")</f>
        <v>8761</v>
      </c>
      <c r="Q111" s="41" t="n">
        <f aca="false">IF(M111&gt;0,O111-G111,"-")</f>
        <v>1478</v>
      </c>
      <c r="R111" s="42" t="n">
        <f aca="false">IF(M111&gt;0,IFERROR(Q111/O111,"-"),"-")</f>
        <v>0.168702202944869</v>
      </c>
      <c r="S111" s="41" t="n">
        <f aca="false">IF(M111&gt;0,ROUND(MAX(G111*1.08,O111*0.97)/100,0)*100,ROUND(G111*1.12/100,0)*100)</f>
        <v>8500</v>
      </c>
      <c r="T111" s="42" t="n">
        <f aca="false">IFERROR((S111-G111)/S111,"-")</f>
        <v>0.143176470588235</v>
      </c>
    </row>
    <row r="112" customFormat="false" ht="15" hidden="false" customHeight="false" outlineLevel="0" collapsed="false">
      <c r="A112" s="8" t="s">
        <v>877</v>
      </c>
      <c r="B112" s="8" t="s">
        <v>919</v>
      </c>
      <c r="C112" s="8" t="s">
        <v>920</v>
      </c>
      <c r="D112" s="8" t="s">
        <v>22</v>
      </c>
      <c r="E112" s="8" t="n">
        <v>100</v>
      </c>
      <c r="F112" s="38" t="n">
        <f aca="false">IFERROR(VALUE(SUBSTITUTE(SUBSTITUTE('FF INDOFLAZ'!E9,"Rp. ",""),".","")),'FF INDOFLAZ'!E9)</f>
        <v>13050</v>
      </c>
      <c r="G112" s="38" t="n">
        <f aca="false">IFERROR(VALUE(SUBSTITUTE(SUBSTITUTE('FF INDOFLAZ'!F9,"Rp. ",""),".","")),'FF INDOFLAZ'!F9)</f>
        <v>12923</v>
      </c>
      <c r="H112" s="38" t="n">
        <f aca="false">IFERROR(VALUE(SUBSTITUTE(SUBSTITUTE('FF INDOFLAZ'!G9,"Rp. ",""),".","")),'FF INDOFLAZ'!G9)</f>
        <v>12796</v>
      </c>
      <c r="I112" s="8" t="s">
        <v>2630</v>
      </c>
      <c r="J112" s="38" t="n">
        <f aca="false">'FF OURA STORE'!A28</f>
        <v>15575</v>
      </c>
      <c r="K112" s="39"/>
      <c r="L112" s="39"/>
      <c r="M112" s="8" t="n">
        <f aca="false">COUNT(J112:L112)</f>
        <v>1</v>
      </c>
      <c r="N112" s="40" t="str">
        <f aca="false">IF(M112&gt;0,"Ada","Tidak Ada")</f>
        <v>Ada</v>
      </c>
      <c r="O112" s="41" t="n">
        <f aca="false">IF(M112&gt;0,MIN(J112:L112),"-")</f>
        <v>15575</v>
      </c>
      <c r="P112" s="41" t="n">
        <f aca="false">IF(M112&gt;0,AVERAGE(J112:L112),"-")</f>
        <v>15575</v>
      </c>
      <c r="Q112" s="41" t="n">
        <f aca="false">IF(M112&gt;0,O112-G112,"-")</f>
        <v>2652</v>
      </c>
      <c r="R112" s="42" t="n">
        <f aca="false">IF(M112&gt;0,IFERROR(Q112/O112,"-"),"-")</f>
        <v>0.170272873194222</v>
      </c>
      <c r="S112" s="41" t="n">
        <f aca="false">IF(M112&gt;0,ROUND(MAX(G112*1.08,O112*0.97)/100,0)*100,ROUND(G112*1.12/100,0)*100)</f>
        <v>15100</v>
      </c>
      <c r="T112" s="42" t="n">
        <f aca="false">IFERROR((S112-G112)/S112,"-")</f>
        <v>0.144172185430464</v>
      </c>
    </row>
    <row r="113" customFormat="false" ht="15" hidden="false" customHeight="false" outlineLevel="0" collapsed="false">
      <c r="A113" s="8" t="s">
        <v>877</v>
      </c>
      <c r="B113" s="8" t="s">
        <v>924</v>
      </c>
      <c r="C113" s="8" t="s">
        <v>925</v>
      </c>
      <c r="D113" s="8" t="s">
        <v>22</v>
      </c>
      <c r="E113" s="8" t="n">
        <v>140</v>
      </c>
      <c r="F113" s="38" t="n">
        <f aca="false">IFERROR(VALUE(SUBSTITUTE(SUBSTITUTE('FF INDOFLAZ'!E10,"Rp. ",""),".","")),'FF INDOFLAZ'!E10)</f>
        <v>17088</v>
      </c>
      <c r="G113" s="38" t="n">
        <f aca="false">IFERROR(VALUE(SUBSTITUTE(SUBSTITUTE('FF INDOFLAZ'!F10,"Rp. ",""),".","")),'FF INDOFLAZ'!F10)</f>
        <v>16922</v>
      </c>
      <c r="H113" s="38" t="n">
        <f aca="false">IFERROR(VALUE(SUBSTITUTE(SUBSTITUTE('FF INDOFLAZ'!G10,"Rp. ",""),".","")),'FF INDOFLAZ'!G10)</f>
        <v>16756</v>
      </c>
      <c r="I113" s="8" t="s">
        <v>2631</v>
      </c>
      <c r="J113" s="38" t="n">
        <f aca="false">'FF OURA STORE'!A34</f>
        <v>19465</v>
      </c>
      <c r="K113" s="38" t="str">
        <f aca="false">'FF EMPE SHOP'!A11</f>
        <v>Rp 19.910,-</v>
      </c>
      <c r="L113" s="39"/>
      <c r="M113" s="8" t="n">
        <f aca="false">COUNT(J113:L113)</f>
        <v>1</v>
      </c>
      <c r="N113" s="40" t="str">
        <f aca="false">IF(M113&gt;0,"Ada","Tidak Ada")</f>
        <v>Ada</v>
      </c>
      <c r="O113" s="41" t="n">
        <f aca="false">IF(M113&gt;0,MIN(J113:L113),"-")</f>
        <v>19465</v>
      </c>
      <c r="P113" s="41" t="n">
        <f aca="false">IF(M113&gt;0,AVERAGE(J113:L113),"-")</f>
        <v>19465</v>
      </c>
      <c r="Q113" s="41" t="n">
        <f aca="false">IF(M113&gt;0,O113-G113,"-")</f>
        <v>2543</v>
      </c>
      <c r="R113" s="42" t="n">
        <f aca="false">IF(M113&gt;0,IFERROR(Q113/O113,"-"),"-")</f>
        <v>0.130644746981762</v>
      </c>
      <c r="S113" s="41" t="n">
        <f aca="false">IF(M113&gt;0,ROUND(MAX(G113*1.08,O113*0.97)/100,0)*100,ROUND(G113*1.12/100,0)*100)</f>
        <v>18900</v>
      </c>
      <c r="T113" s="42" t="n">
        <f aca="false">IFERROR((S113-G113)/S113,"-")</f>
        <v>0.104656084656085</v>
      </c>
    </row>
    <row r="114" customFormat="false" ht="15" hidden="false" customHeight="false" outlineLevel="0" collapsed="false">
      <c r="A114" s="8" t="s">
        <v>877</v>
      </c>
      <c r="B114" s="8" t="s">
        <v>930</v>
      </c>
      <c r="C114" s="8" t="s">
        <v>931</v>
      </c>
      <c r="D114" s="8" t="s">
        <v>22</v>
      </c>
      <c r="E114" s="8"/>
      <c r="F114" s="38" t="n">
        <f aca="false">IFERROR(VALUE(SUBSTITUTE(SUBSTITUTE('FF INDOFLAZ'!E11,"Rp. ",""),".","")),'FF INDOFLAZ'!E11)</f>
        <v>26813</v>
      </c>
      <c r="G114" s="38" t="n">
        <f aca="false">IFERROR(VALUE(SUBSTITUTE(SUBSTITUTE('FF INDOFLAZ'!F11,"Rp. ",""),".","")),'FF INDOFLAZ'!F11)</f>
        <v>26553</v>
      </c>
      <c r="H114" s="38" t="n">
        <f aca="false">IFERROR(VALUE(SUBSTITUTE(SUBSTITUTE('FF INDOFLAZ'!G11,"Rp. ",""),".","")),'FF INDOFLAZ'!G11)</f>
        <v>26293</v>
      </c>
      <c r="I114" s="8" t="s">
        <v>2625</v>
      </c>
      <c r="J114" s="39"/>
      <c r="K114" s="39"/>
      <c r="L114" s="39"/>
      <c r="M114" s="8" t="n">
        <f aca="false">COUNT(J114:L114)</f>
        <v>0</v>
      </c>
      <c r="N114" s="40" t="str">
        <f aca="false">IF(M114&gt;0,"Ada","Tidak Ada")</f>
        <v>Tidak Ada</v>
      </c>
      <c r="O114" s="41" t="str">
        <f aca="false">IF(M114&gt;0,MIN(J114:L114),"-")</f>
        <v>-</v>
      </c>
      <c r="P114" s="41" t="str">
        <f aca="false">IF(M114&gt;0,AVERAGE(J114:L114),"-")</f>
        <v>-</v>
      </c>
      <c r="Q114" s="41" t="str">
        <f aca="false">IF(M114&gt;0,O114-G114,"-")</f>
        <v>-</v>
      </c>
      <c r="R114" s="42" t="str">
        <f aca="false">IF(M114&gt;0,IFERROR(Q114/O114,"-"),"-")</f>
        <v>-</v>
      </c>
      <c r="S114" s="41" t="n">
        <f aca="false">IF(M114&gt;0,ROUND(MAX(G114*1.08,O114*0.97)/100,0)*100,ROUND(G114*1.12/100,0)*100)</f>
        <v>29700</v>
      </c>
      <c r="T114" s="42" t="n">
        <f aca="false">IFERROR((S114-G114)/S114,"-")</f>
        <v>0.105959595959596</v>
      </c>
    </row>
    <row r="115" customFormat="false" ht="15" hidden="false" customHeight="false" outlineLevel="0" collapsed="false">
      <c r="A115" s="8" t="s">
        <v>877</v>
      </c>
      <c r="B115" s="8" t="s">
        <v>936</v>
      </c>
      <c r="C115" s="8" t="s">
        <v>937</v>
      </c>
      <c r="D115" s="8" t="s">
        <v>22</v>
      </c>
      <c r="E115" s="8" t="n">
        <v>210</v>
      </c>
      <c r="F115" s="38" t="n">
        <f aca="false">IFERROR(VALUE(SUBSTITUTE(SUBSTITUTE('FF INDOFLAZ'!E12,"Rp. ",""),".","")),'FF INDOFLAZ'!E12)</f>
        <v>27203</v>
      </c>
      <c r="G115" s="38" t="n">
        <f aca="false">IFERROR(VALUE(SUBSTITUTE(SUBSTITUTE('FF INDOFLAZ'!F12,"Rp. ",""),".","")),'FF INDOFLAZ'!F12)</f>
        <v>26939</v>
      </c>
      <c r="H115" s="38" t="n">
        <f aca="false">IFERROR(VALUE(SUBSTITUTE(SUBSTITUTE('FF INDOFLAZ'!G12,"Rp. ",""),".","")),'FF INDOFLAZ'!G12)</f>
        <v>26675</v>
      </c>
      <c r="I115" s="8" t="s">
        <v>2630</v>
      </c>
      <c r="J115" s="38" t="n">
        <f aca="false">'FF OURA STORE'!A46</f>
        <v>29198</v>
      </c>
      <c r="K115" s="39"/>
      <c r="L115" s="39"/>
      <c r="M115" s="8" t="n">
        <f aca="false">COUNT(J115:L115)</f>
        <v>1</v>
      </c>
      <c r="N115" s="40" t="str">
        <f aca="false">IF(M115&gt;0,"Ada","Tidak Ada")</f>
        <v>Ada</v>
      </c>
      <c r="O115" s="41" t="n">
        <f aca="false">IF(M115&gt;0,MIN(J115:L115),"-")</f>
        <v>29198</v>
      </c>
      <c r="P115" s="41" t="n">
        <f aca="false">IF(M115&gt;0,AVERAGE(J115:L115),"-")</f>
        <v>29198</v>
      </c>
      <c r="Q115" s="41" t="n">
        <f aca="false">IF(M115&gt;0,O115-G115,"-")</f>
        <v>2259</v>
      </c>
      <c r="R115" s="42" t="n">
        <f aca="false">IF(M115&gt;0,IFERROR(Q115/O115,"-"),"-")</f>
        <v>0.0773683128981437</v>
      </c>
      <c r="S115" s="41" t="n">
        <f aca="false">IF(M115&gt;0,ROUND(MAX(G115*1.08,O115*0.97)/100,0)*100,ROUND(G115*1.12/100,0)*100)</f>
        <v>29100</v>
      </c>
      <c r="T115" s="42" t="n">
        <f aca="false">IFERROR((S115-G115)/S115,"-")</f>
        <v>0.0742611683848797</v>
      </c>
    </row>
    <row r="116" customFormat="false" ht="15" hidden="false" customHeight="false" outlineLevel="0" collapsed="false">
      <c r="A116" s="8" t="s">
        <v>877</v>
      </c>
      <c r="B116" s="8" t="s">
        <v>941</v>
      </c>
      <c r="C116" s="8" t="s">
        <v>942</v>
      </c>
      <c r="D116" s="8" t="s">
        <v>22</v>
      </c>
      <c r="E116" s="8"/>
      <c r="F116" s="38" t="n">
        <f aca="false">IFERROR(VALUE(SUBSTITUTE(SUBSTITUTE('FF INDOFLAZ'!E13,"Rp. ",""),".","")),'FF INDOFLAZ'!E13)</f>
        <v>43466</v>
      </c>
      <c r="G116" s="38" t="n">
        <f aca="false">IFERROR(VALUE(SUBSTITUTE(SUBSTITUTE('FF INDOFLAZ'!F13,"Rp. ",""),".","")),'FF INDOFLAZ'!F13)</f>
        <v>43044</v>
      </c>
      <c r="H116" s="38" t="n">
        <f aca="false">IFERROR(VALUE(SUBSTITUTE(SUBSTITUTE('FF INDOFLAZ'!G13,"Rp. ",""),".","")),'FF INDOFLAZ'!G13)</f>
        <v>42622</v>
      </c>
      <c r="I116" s="8" t="s">
        <v>2625</v>
      </c>
      <c r="J116" s="39"/>
      <c r="K116" s="39"/>
      <c r="L116" s="39"/>
      <c r="M116" s="8" t="n">
        <f aca="false">COUNT(J116:L116)</f>
        <v>0</v>
      </c>
      <c r="N116" s="40" t="str">
        <f aca="false">IF(M116&gt;0,"Ada","Tidak Ada")</f>
        <v>Tidak Ada</v>
      </c>
      <c r="O116" s="41" t="str">
        <f aca="false">IF(M116&gt;0,MIN(J116:L116),"-")</f>
        <v>-</v>
      </c>
      <c r="P116" s="41" t="str">
        <f aca="false">IF(M116&gt;0,AVERAGE(J116:L116),"-")</f>
        <v>-</v>
      </c>
      <c r="Q116" s="41" t="str">
        <f aca="false">IF(M116&gt;0,O116-G116,"-")</f>
        <v>-</v>
      </c>
      <c r="R116" s="42" t="str">
        <f aca="false">IF(M116&gt;0,IFERROR(Q116/O116,"-"),"-")</f>
        <v>-</v>
      </c>
      <c r="S116" s="41" t="n">
        <f aca="false">IF(M116&gt;0,ROUND(MAX(G116*1.08,O116*0.97)/100,0)*100,ROUND(G116*1.12/100,0)*100)</f>
        <v>48200</v>
      </c>
      <c r="T116" s="42" t="n">
        <f aca="false">IFERROR((S116-G116)/S116,"-")</f>
        <v>0.106970954356846</v>
      </c>
    </row>
    <row r="117" customFormat="false" ht="15" hidden="false" customHeight="false" outlineLevel="0" collapsed="false">
      <c r="A117" s="8" t="s">
        <v>877</v>
      </c>
      <c r="B117" s="8" t="s">
        <v>947</v>
      </c>
      <c r="C117" s="8" t="s">
        <v>948</v>
      </c>
      <c r="D117" s="8" t="s">
        <v>22</v>
      </c>
      <c r="E117" s="8" t="n">
        <v>350</v>
      </c>
      <c r="F117" s="38" t="n">
        <f aca="false">IFERROR(VALUE(SUBSTITUTE(SUBSTITUTE('FF INDOFLAZ'!E14,"Rp. ",""),".","")),'FF INDOFLAZ'!E14)</f>
        <v>43684</v>
      </c>
      <c r="G117" s="38" t="n">
        <f aca="false">IFERROR(VALUE(SUBSTITUTE(SUBSTITUTE('FF INDOFLAZ'!F14,"Rp. ",""),".","")),'FF INDOFLAZ'!F14)</f>
        <v>43260</v>
      </c>
      <c r="H117" s="38" t="n">
        <f aca="false">IFERROR(VALUE(SUBSTITUTE(SUBSTITUTE('FF INDOFLAZ'!G14,"Rp. ",""),".","")),'FF INDOFLAZ'!G14)</f>
        <v>42836</v>
      </c>
      <c r="I117" s="8" t="s">
        <v>2625</v>
      </c>
      <c r="J117" s="39"/>
      <c r="K117" s="39"/>
      <c r="L117" s="39"/>
      <c r="M117" s="8" t="n">
        <f aca="false">COUNT(J117:L117)</f>
        <v>0</v>
      </c>
      <c r="N117" s="40" t="str">
        <f aca="false">IF(M117&gt;0,"Ada","Tidak Ada")</f>
        <v>Tidak Ada</v>
      </c>
      <c r="O117" s="41" t="str">
        <f aca="false">IF(M117&gt;0,MIN(J117:L117),"-")</f>
        <v>-</v>
      </c>
      <c r="P117" s="41" t="str">
        <f aca="false">IF(M117&gt;0,AVERAGE(J117:L117),"-")</f>
        <v>-</v>
      </c>
      <c r="Q117" s="41" t="str">
        <f aca="false">IF(M117&gt;0,O117-G117,"-")</f>
        <v>-</v>
      </c>
      <c r="R117" s="42" t="str">
        <f aca="false">IF(M117&gt;0,IFERROR(Q117/O117,"-"),"-")</f>
        <v>-</v>
      </c>
      <c r="S117" s="41" t="n">
        <f aca="false">IF(M117&gt;0,ROUND(MAX(G117*1.08,O117*0.97)/100,0)*100,ROUND(G117*1.12/100,0)*100)</f>
        <v>48500</v>
      </c>
      <c r="T117" s="42" t="n">
        <f aca="false">IFERROR((S117-G117)/S117,"-")</f>
        <v>0.108041237113402</v>
      </c>
    </row>
    <row r="118" customFormat="false" ht="15" hidden="false" customHeight="false" outlineLevel="0" collapsed="false">
      <c r="A118" s="8" t="s">
        <v>877</v>
      </c>
      <c r="B118" s="8" t="s">
        <v>953</v>
      </c>
      <c r="C118" s="8" t="s">
        <v>954</v>
      </c>
      <c r="D118" s="8" t="s">
        <v>22</v>
      </c>
      <c r="E118" s="8" t="n">
        <v>545</v>
      </c>
      <c r="F118" s="38" t="n">
        <f aca="false">IFERROR(VALUE(SUBSTITUTE(SUBSTITUTE('FF INDOFLAZ'!E15,"Rp. ",""),".","")),'FF INDOFLAZ'!E15)</f>
        <v>68004</v>
      </c>
      <c r="G118" s="38" t="n">
        <f aca="false">IFERROR(VALUE(SUBSTITUTE(SUBSTITUTE('FF INDOFLAZ'!F15,"Rp. ",""),".","")),'FF INDOFLAZ'!F15)</f>
        <v>67344</v>
      </c>
      <c r="H118" s="38" t="n">
        <f aca="false">IFERROR(VALUE(SUBSTITUTE(SUBSTITUTE('FF INDOFLAZ'!G15,"Rp. ",""),".","")),'FF INDOFLAZ'!G15)</f>
        <v>66684</v>
      </c>
      <c r="I118" s="8" t="s">
        <v>2630</v>
      </c>
      <c r="J118" s="38" t="n">
        <f aca="false">'FF OURA STORE'!A80</f>
        <v>75912</v>
      </c>
      <c r="K118" s="39"/>
      <c r="L118" s="39"/>
      <c r="M118" s="8" t="n">
        <f aca="false">COUNT(J118:L118)</f>
        <v>1</v>
      </c>
      <c r="N118" s="40" t="str">
        <f aca="false">IF(M118&gt;0,"Ada","Tidak Ada")</f>
        <v>Ada</v>
      </c>
      <c r="O118" s="41" t="n">
        <f aca="false">IF(M118&gt;0,MIN(J118:L118),"-")</f>
        <v>75912</v>
      </c>
      <c r="P118" s="41" t="n">
        <f aca="false">IF(M118&gt;0,AVERAGE(J118:L118),"-")</f>
        <v>75912</v>
      </c>
      <c r="Q118" s="41" t="n">
        <f aca="false">IF(M118&gt;0,O118-G118,"-")</f>
        <v>8568</v>
      </c>
      <c r="R118" s="42" t="n">
        <f aca="false">IF(M118&gt;0,IFERROR(Q118/O118,"-"),"-")</f>
        <v>0.112867530825166</v>
      </c>
      <c r="S118" s="41" t="n">
        <f aca="false">IF(M118&gt;0,ROUND(MAX(G118*1.08,O118*0.97)/100,0)*100,ROUND(G118*1.12/100,0)*100)</f>
        <v>73600</v>
      </c>
      <c r="T118" s="42" t="n">
        <f aca="false">IFERROR((S118-G118)/S118,"-")</f>
        <v>0.085</v>
      </c>
    </row>
    <row r="119" customFormat="false" ht="15" hidden="false" customHeight="false" outlineLevel="0" collapsed="false">
      <c r="A119" s="8" t="s">
        <v>877</v>
      </c>
      <c r="B119" s="8" t="s">
        <v>959</v>
      </c>
      <c r="C119" s="8" t="s">
        <v>960</v>
      </c>
      <c r="D119" s="8" t="s">
        <v>22</v>
      </c>
      <c r="E119" s="8"/>
      <c r="F119" s="38" t="n">
        <f aca="false">IFERROR(VALUE(SUBSTITUTE(SUBSTITUTE('FF INDOFLAZ'!E16,"Rp. ",""),".","")),'FF INDOFLAZ'!E16)</f>
        <v>80440</v>
      </c>
      <c r="G119" s="38" t="n">
        <f aca="false">IFERROR(VALUE(SUBSTITUTE(SUBSTITUTE('FF INDOFLAZ'!F16,"Rp. ",""),".","")),'FF INDOFLAZ'!F16)</f>
        <v>79659</v>
      </c>
      <c r="H119" s="38" t="n">
        <f aca="false">IFERROR(VALUE(SUBSTITUTE(SUBSTITUTE('FF INDOFLAZ'!G16,"Rp. ",""),".","")),'FF INDOFLAZ'!G16)</f>
        <v>78878</v>
      </c>
      <c r="I119" s="8" t="s">
        <v>2625</v>
      </c>
      <c r="J119" s="39"/>
      <c r="K119" s="39"/>
      <c r="L119" s="39"/>
      <c r="M119" s="8" t="n">
        <f aca="false">COUNT(J119:L119)</f>
        <v>0</v>
      </c>
      <c r="N119" s="40" t="str">
        <f aca="false">IF(M119&gt;0,"Ada","Tidak Ada")</f>
        <v>Tidak Ada</v>
      </c>
      <c r="O119" s="41" t="str">
        <f aca="false">IF(M119&gt;0,MIN(J119:L119),"-")</f>
        <v>-</v>
      </c>
      <c r="P119" s="41" t="str">
        <f aca="false">IF(M119&gt;0,AVERAGE(J119:L119),"-")</f>
        <v>-</v>
      </c>
      <c r="Q119" s="41" t="str">
        <f aca="false">IF(M119&gt;0,O119-G119,"-")</f>
        <v>-</v>
      </c>
      <c r="R119" s="42" t="str">
        <f aca="false">IF(M119&gt;0,IFERROR(Q119/O119,"-"),"-")</f>
        <v>-</v>
      </c>
      <c r="S119" s="41" t="n">
        <f aca="false">IF(M119&gt;0,ROUND(MAX(G119*1.08,O119*0.97)/100,0)*100,ROUND(G119*1.12/100,0)*100)</f>
        <v>89200</v>
      </c>
      <c r="T119" s="42" t="n">
        <f aca="false">IFERROR((S119-G119)/S119,"-")</f>
        <v>0.106961883408072</v>
      </c>
    </row>
    <row r="120" customFormat="false" ht="15" hidden="false" customHeight="false" outlineLevel="0" collapsed="false">
      <c r="A120" s="8" t="s">
        <v>877</v>
      </c>
      <c r="B120" s="8" t="s">
        <v>965</v>
      </c>
      <c r="C120" s="8" t="s">
        <v>966</v>
      </c>
      <c r="D120" s="8" t="s">
        <v>22</v>
      </c>
      <c r="E120" s="8" t="n">
        <v>860</v>
      </c>
      <c r="F120" s="38" t="n">
        <f aca="false">IFERROR(VALUE(SUBSTITUTE(SUBSTITUTE('FF INDOFLAZ'!E17,"Rp. ",""),".","")),'FF INDOFLAZ'!E17)</f>
        <v>112193</v>
      </c>
      <c r="G120" s="38" t="n">
        <f aca="false">IFERROR(VALUE(SUBSTITUTE(SUBSTITUTE('FF INDOFLAZ'!F17,"Rp. ",""),".","")),'FF INDOFLAZ'!F17)</f>
        <v>111104</v>
      </c>
      <c r="H120" s="38" t="n">
        <f aca="false">IFERROR(VALUE(SUBSTITUTE(SUBSTITUTE('FF INDOFLAZ'!G17,"Rp. ",""),".","")),'FF INDOFLAZ'!G17)</f>
        <v>110015</v>
      </c>
      <c r="I120" s="8" t="s">
        <v>2630</v>
      </c>
      <c r="J120" s="38" t="n">
        <f aca="false">'FF OURA STORE'!A108</f>
        <v>116785</v>
      </c>
      <c r="K120" s="39"/>
      <c r="L120" s="39"/>
      <c r="M120" s="8" t="n">
        <f aca="false">COUNT(J120:L120)</f>
        <v>1</v>
      </c>
      <c r="N120" s="40" t="str">
        <f aca="false">IF(M120&gt;0,"Ada","Tidak Ada")</f>
        <v>Ada</v>
      </c>
      <c r="O120" s="41" t="n">
        <f aca="false">IF(M120&gt;0,MIN(J120:L120),"-")</f>
        <v>116785</v>
      </c>
      <c r="P120" s="41" t="n">
        <f aca="false">IF(M120&gt;0,AVERAGE(J120:L120),"-")</f>
        <v>116785</v>
      </c>
      <c r="Q120" s="41" t="n">
        <f aca="false">IF(M120&gt;0,O120-G120,"-")</f>
        <v>5681</v>
      </c>
      <c r="R120" s="42" t="n">
        <f aca="false">IF(M120&gt;0,IFERROR(Q120/O120,"-"),"-")</f>
        <v>0.0486449458406473</v>
      </c>
      <c r="S120" s="41" t="n">
        <f aca="false">IF(M120&gt;0,ROUND(MAX(G120*1.08,O120*0.97)/100,0)*100,ROUND(G120*1.12/100,0)*100)</f>
        <v>120000</v>
      </c>
      <c r="T120" s="42" t="n">
        <f aca="false">IFERROR((S120-G120)/S120,"-")</f>
        <v>0.0741333333333333</v>
      </c>
    </row>
    <row r="121" customFormat="false" ht="15" hidden="false" customHeight="false" outlineLevel="0" collapsed="false">
      <c r="A121" s="8" t="s">
        <v>877</v>
      </c>
      <c r="B121" s="8" t="s">
        <v>971</v>
      </c>
      <c r="C121" s="8" t="s">
        <v>972</v>
      </c>
      <c r="D121" s="8" t="s">
        <v>22</v>
      </c>
      <c r="E121" s="8" t="n">
        <v>1075</v>
      </c>
      <c r="F121" s="38" t="n">
        <f aca="false">IFERROR(VALUE(SUBSTITUTE(SUBSTITUTE('FF INDOFLAZ'!E18,"Rp. ",""),".","")),'FF INDOFLAZ'!E18)</f>
        <v>132725</v>
      </c>
      <c r="G121" s="38" t="n">
        <f aca="false">IFERROR(VALUE(SUBSTITUTE(SUBSTITUTE('FF INDOFLAZ'!F18,"Rp. ",""),".","")),'FF INDOFLAZ'!F18)</f>
        <v>131437</v>
      </c>
      <c r="H121" s="38" t="n">
        <f aca="false">IFERROR(VALUE(SUBSTITUTE(SUBSTITUTE('FF INDOFLAZ'!G18,"Rp. ",""),".","")),'FF INDOFLAZ'!G18)</f>
        <v>130148</v>
      </c>
      <c r="I121" s="8" t="s">
        <v>2630</v>
      </c>
      <c r="J121" s="38" t="n">
        <f aca="false">'FF OURA STORE'!A118</f>
        <v>145981</v>
      </c>
      <c r="K121" s="39"/>
      <c r="L121" s="39"/>
      <c r="M121" s="8" t="n">
        <f aca="false">COUNT(J121:L121)</f>
        <v>1</v>
      </c>
      <c r="N121" s="40" t="str">
        <f aca="false">IF(M121&gt;0,"Ada","Tidak Ada")</f>
        <v>Ada</v>
      </c>
      <c r="O121" s="41" t="n">
        <f aca="false">IF(M121&gt;0,MIN(J121:L121),"-")</f>
        <v>145981</v>
      </c>
      <c r="P121" s="41" t="n">
        <f aca="false">IF(M121&gt;0,AVERAGE(J121:L121),"-")</f>
        <v>145981</v>
      </c>
      <c r="Q121" s="41" t="n">
        <f aca="false">IF(M121&gt;0,O121-G121,"-")</f>
        <v>14544</v>
      </c>
      <c r="R121" s="42" t="n">
        <f aca="false">IF(M121&gt;0,IFERROR(Q121/O121,"-"),"-")</f>
        <v>0.0996294038265254</v>
      </c>
      <c r="S121" s="41" t="n">
        <f aca="false">IF(M121&gt;0,ROUND(MAX(G121*1.08,O121*0.97)/100,0)*100,ROUND(G121*1.12/100,0)*100)</f>
        <v>142000</v>
      </c>
      <c r="T121" s="42" t="n">
        <f aca="false">IFERROR((S121-G121)/S121,"-")</f>
        <v>0.074387323943662</v>
      </c>
    </row>
    <row r="122" customFormat="false" ht="15" hidden="false" customHeight="false" outlineLevel="0" collapsed="false">
      <c r="A122" s="8" t="s">
        <v>877</v>
      </c>
      <c r="B122" s="8" t="s">
        <v>977</v>
      </c>
      <c r="C122" s="8" t="s">
        <v>978</v>
      </c>
      <c r="D122" s="8" t="s">
        <v>22</v>
      </c>
      <c r="E122" s="8" t="n">
        <v>1200</v>
      </c>
      <c r="F122" s="38" t="n">
        <f aca="false">IFERROR(VALUE(SUBSTITUTE(SUBSTITUTE('FF INDOFLAZ'!E19,"Rp. ",""),".","")),'FF INDOFLAZ'!E19)</f>
        <v>151081</v>
      </c>
      <c r="G122" s="38" t="n">
        <f aca="false">IFERROR(VALUE(SUBSTITUTE(SUBSTITUTE('FF INDOFLAZ'!F19,"Rp. ",""),".","")),'FF INDOFLAZ'!F19)</f>
        <v>149614</v>
      </c>
      <c r="H122" s="38" t="n">
        <f aca="false">IFERROR(VALUE(SUBSTITUTE(SUBSTITUTE('FF INDOFLAZ'!G19,"Rp. ",""),".","")),'FF INDOFLAZ'!G19)</f>
        <v>148147</v>
      </c>
      <c r="I122" s="8" t="s">
        <v>2630</v>
      </c>
      <c r="J122" s="38" t="n">
        <f aca="false">'FF OURA STORE'!A126</f>
        <v>164473</v>
      </c>
      <c r="K122" s="39"/>
      <c r="L122" s="39"/>
      <c r="M122" s="8" t="n">
        <f aca="false">COUNT(J122:L122)</f>
        <v>1</v>
      </c>
      <c r="N122" s="40" t="str">
        <f aca="false">IF(M122&gt;0,"Ada","Tidak Ada")</f>
        <v>Ada</v>
      </c>
      <c r="O122" s="41" t="n">
        <f aca="false">IF(M122&gt;0,MIN(J122:L122),"-")</f>
        <v>164473</v>
      </c>
      <c r="P122" s="41" t="n">
        <f aca="false">IF(M122&gt;0,AVERAGE(J122:L122),"-")</f>
        <v>164473</v>
      </c>
      <c r="Q122" s="41" t="n">
        <f aca="false">IF(M122&gt;0,O122-G122,"-")</f>
        <v>14859</v>
      </c>
      <c r="R122" s="42" t="n">
        <f aca="false">IF(M122&gt;0,IFERROR(Q122/O122,"-"),"-")</f>
        <v>0.0903430958272787</v>
      </c>
      <c r="S122" s="41" t="n">
        <f aca="false">IF(M122&gt;0,ROUND(MAX(G122*1.08,O122*0.97)/100,0)*100,ROUND(G122*1.12/100,0)*100)</f>
        <v>161600</v>
      </c>
      <c r="T122" s="42" t="n">
        <f aca="false">IFERROR((S122-G122)/S122,"-")</f>
        <v>0.0741707920792079</v>
      </c>
    </row>
    <row r="123" customFormat="false" ht="15" hidden="false" customHeight="false" outlineLevel="0" collapsed="false">
      <c r="A123" s="8" t="s">
        <v>877</v>
      </c>
      <c r="B123" s="8" t="s">
        <v>983</v>
      </c>
      <c r="C123" s="8" t="s">
        <v>984</v>
      </c>
      <c r="D123" s="8" t="s">
        <v>22</v>
      </c>
      <c r="E123" s="8" t="n">
        <v>1450</v>
      </c>
      <c r="F123" s="38" t="n">
        <f aca="false">IFERROR(VALUE(SUBSTITUTE(SUBSTITUTE('FF INDOFLAZ'!E20,"Rp. ",""),".","")),'FF INDOFLAZ'!E20)</f>
        <v>178147</v>
      </c>
      <c r="G123" s="38" t="n">
        <f aca="false">IFERROR(VALUE(SUBSTITUTE(SUBSTITUTE('FF INDOFLAZ'!F20,"Rp. ",""),".","")),'FF INDOFLAZ'!F20)</f>
        <v>176418</v>
      </c>
      <c r="H123" s="38" t="n">
        <f aca="false">IFERROR(VALUE(SUBSTITUTE(SUBSTITUTE('FF INDOFLAZ'!G20,"Rp. ",""),".","")),'FF INDOFLAZ'!G20)</f>
        <v>174688</v>
      </c>
      <c r="I123" s="8" t="s">
        <v>2631</v>
      </c>
      <c r="J123" s="38" t="n">
        <f aca="false">'FF OURA STORE'!A132</f>
        <v>194639</v>
      </c>
      <c r="K123" s="38" t="str">
        <f aca="false">'FF EMPE SHOP'!A19</f>
        <v>Rp 203.313,-</v>
      </c>
      <c r="L123" s="39"/>
      <c r="M123" s="8" t="n">
        <f aca="false">COUNT(J123:L123)</f>
        <v>1</v>
      </c>
      <c r="N123" s="40" t="str">
        <f aca="false">IF(M123&gt;0,"Ada","Tidak Ada")</f>
        <v>Ada</v>
      </c>
      <c r="O123" s="41" t="n">
        <f aca="false">IF(M123&gt;0,MIN(J123:L123),"-")</f>
        <v>194639</v>
      </c>
      <c r="P123" s="41" t="n">
        <f aca="false">IF(M123&gt;0,AVERAGE(J123:L123),"-")</f>
        <v>194639</v>
      </c>
      <c r="Q123" s="41" t="n">
        <f aca="false">IF(M123&gt;0,O123-G123,"-")</f>
        <v>18221</v>
      </c>
      <c r="R123" s="42" t="n">
        <f aca="false">IF(M123&gt;0,IFERROR(Q123/O123,"-"),"-")</f>
        <v>0.093614332173922</v>
      </c>
      <c r="S123" s="41" t="n">
        <f aca="false">IF(M123&gt;0,ROUND(MAX(G123*1.08,O123*0.97)/100,0)*100,ROUND(G123*1.12/100,0)*100)</f>
        <v>190500</v>
      </c>
      <c r="T123" s="42" t="n">
        <f aca="false">IFERROR((S123-G123)/S123,"-")</f>
        <v>0.0739212598425197</v>
      </c>
    </row>
    <row r="124" customFormat="false" ht="15" hidden="false" customHeight="false" outlineLevel="0" collapsed="false">
      <c r="A124" s="8" t="s">
        <v>877</v>
      </c>
      <c r="B124" s="8" t="s">
        <v>989</v>
      </c>
      <c r="C124" s="8" t="s">
        <v>990</v>
      </c>
      <c r="D124" s="8" t="s">
        <v>22</v>
      </c>
      <c r="E124" s="8" t="n">
        <v>2000</v>
      </c>
      <c r="F124" s="38" t="n">
        <f aca="false">IFERROR(VALUE(SUBSTITUTE(SUBSTITUTE('FF INDOFLAZ'!E21,"Rp. ",""),".","")),'FF INDOFLAZ'!E21)</f>
        <v>247755</v>
      </c>
      <c r="G124" s="38" t="n">
        <f aca="false">IFERROR(VALUE(SUBSTITUTE(SUBSTITUTE('FF INDOFLAZ'!F21,"Rp. ",""),".","")),'FF INDOFLAZ'!F21)</f>
        <v>245349</v>
      </c>
      <c r="H124" s="38" t="n">
        <f aca="false">IFERROR(VALUE(SUBSTITUTE(SUBSTITUTE('FF INDOFLAZ'!G21,"Rp. ",""),".","")),'FF INDOFLAZ'!G21)</f>
        <v>242944</v>
      </c>
      <c r="I124" s="8" t="s">
        <v>2631</v>
      </c>
      <c r="J124" s="38" t="n">
        <f aca="false">'FF OURA STORE'!A148</f>
        <v>271524</v>
      </c>
      <c r="K124" s="38" t="str">
        <f aca="false">'FF EMPE SHOP'!A2</f>
        <v>Rp 282.827,-</v>
      </c>
      <c r="L124" s="39"/>
      <c r="M124" s="8" t="n">
        <f aca="false">COUNT(J124:L124)</f>
        <v>1</v>
      </c>
      <c r="N124" s="40" t="str">
        <f aca="false">IF(M124&gt;0,"Ada","Tidak Ada")</f>
        <v>Ada</v>
      </c>
      <c r="O124" s="41" t="n">
        <f aca="false">IF(M124&gt;0,MIN(J124:L124),"-")</f>
        <v>271524</v>
      </c>
      <c r="P124" s="41" t="n">
        <f aca="false">IF(M124&gt;0,AVERAGE(J124:L124),"-")</f>
        <v>271524</v>
      </c>
      <c r="Q124" s="41" t="n">
        <f aca="false">IF(M124&gt;0,O124-G124,"-")</f>
        <v>26175</v>
      </c>
      <c r="R124" s="42" t="n">
        <f aca="false">IF(M124&gt;0,IFERROR(Q124/O124,"-"),"-")</f>
        <v>0.0964003182039157</v>
      </c>
      <c r="S124" s="41" t="n">
        <f aca="false">IF(M124&gt;0,ROUND(MAX(G124*1.08,O124*0.97)/100,0)*100,ROUND(G124*1.12/100,0)*100)</f>
        <v>265000</v>
      </c>
      <c r="T124" s="42" t="n">
        <f aca="false">IFERROR((S124-G124)/S124,"-")</f>
        <v>0.0741547169811321</v>
      </c>
    </row>
    <row r="125" customFormat="false" ht="15" hidden="false" customHeight="false" outlineLevel="0" collapsed="false">
      <c r="A125" s="8" t="s">
        <v>877</v>
      </c>
      <c r="B125" s="8" t="s">
        <v>995</v>
      </c>
      <c r="C125" s="8" t="s">
        <v>996</v>
      </c>
      <c r="D125" s="8" t="s">
        <v>22</v>
      </c>
      <c r="E125" s="8" t="n">
        <v>3310</v>
      </c>
      <c r="F125" s="38" t="n">
        <f aca="false">IFERROR(VALUE(SUBSTITUTE(SUBSTITUTE('FF INDOFLAZ'!E22,"Rp. ",""),".","")),'FF INDOFLAZ'!E22)</f>
        <v>395047</v>
      </c>
      <c r="G125" s="38" t="n">
        <f aca="false">IFERROR(VALUE(SUBSTITUTE(SUBSTITUTE('FF INDOFLAZ'!F22,"Rp. ",""),".","")),'FF INDOFLAZ'!F22)</f>
        <v>391211</v>
      </c>
      <c r="H125" s="38" t="n">
        <f aca="false">IFERROR(VALUE(SUBSTITUTE(SUBSTITUTE('FF INDOFLAZ'!G22,"Rp. ",""),".","")),'FF INDOFLAZ'!G22)</f>
        <v>387376</v>
      </c>
      <c r="I125" s="8" t="s">
        <v>2630</v>
      </c>
      <c r="J125" s="38" t="n">
        <f aca="false">'FF OURA STORE'!A184</f>
        <v>446699</v>
      </c>
      <c r="K125" s="39"/>
      <c r="L125" s="39"/>
      <c r="M125" s="8" t="n">
        <f aca="false">COUNT(J125:L125)</f>
        <v>1</v>
      </c>
      <c r="N125" s="40" t="str">
        <f aca="false">IF(M125&gt;0,"Ada","Tidak Ada")</f>
        <v>Ada</v>
      </c>
      <c r="O125" s="41" t="n">
        <f aca="false">IF(M125&gt;0,MIN(J125:L125),"-")</f>
        <v>446699</v>
      </c>
      <c r="P125" s="41" t="n">
        <f aca="false">IF(M125&gt;0,AVERAGE(J125:L125),"-")</f>
        <v>446699</v>
      </c>
      <c r="Q125" s="41" t="n">
        <f aca="false">IF(M125&gt;0,O125-G125,"-")</f>
        <v>55488</v>
      </c>
      <c r="R125" s="42" t="n">
        <f aca="false">IF(M125&gt;0,IFERROR(Q125/O125,"-"),"-")</f>
        <v>0.124217873780779</v>
      </c>
      <c r="S125" s="41" t="n">
        <f aca="false">IF(M125&gt;0,ROUND(MAX(G125*1.08,O125*0.97)/100,0)*100,ROUND(G125*1.12/100,0)*100)</f>
        <v>433300</v>
      </c>
      <c r="T125" s="42" t="n">
        <f aca="false">IFERROR((S125-G125)/S125,"-")</f>
        <v>0.0971359335333487</v>
      </c>
    </row>
    <row r="126" customFormat="false" ht="15" hidden="false" customHeight="false" outlineLevel="0" collapsed="false">
      <c r="A126" s="8" t="s">
        <v>877</v>
      </c>
      <c r="B126" s="8" t="s">
        <v>1001</v>
      </c>
      <c r="C126" s="8" t="s">
        <v>1002</v>
      </c>
      <c r="D126" s="8" t="s">
        <v>22</v>
      </c>
      <c r="E126" s="8" t="n">
        <v>4000</v>
      </c>
      <c r="F126" s="38" t="n">
        <f aca="false">IFERROR(VALUE(SUBSTITUTE(SUBSTITUTE('FF INDOFLAZ'!E23,"Rp. ",""),".","")),'FF INDOFLAZ'!E23)</f>
        <v>476042</v>
      </c>
      <c r="G126" s="38" t="n">
        <f aca="false">IFERROR(VALUE(SUBSTITUTE(SUBSTITUTE('FF INDOFLAZ'!F23,"Rp. ",""),".","")),'FF INDOFLAZ'!F23)</f>
        <v>471420</v>
      </c>
      <c r="H126" s="38" t="n">
        <f aca="false">IFERROR(VALUE(SUBSTITUTE(SUBSTITUTE('FF INDOFLAZ'!G23,"Rp. ",""),".","")),'FF INDOFLAZ'!G23)</f>
        <v>466798</v>
      </c>
      <c r="I126" s="8" t="s">
        <v>2630</v>
      </c>
      <c r="J126" s="38" t="n">
        <f aca="false">'FF OURA STORE'!A192</f>
        <v>536231</v>
      </c>
      <c r="K126" s="39"/>
      <c r="L126" s="39"/>
      <c r="M126" s="8" t="n">
        <f aca="false">COUNT(J126:L126)</f>
        <v>1</v>
      </c>
      <c r="N126" s="40" t="str">
        <f aca="false">IF(M126&gt;0,"Ada","Tidak Ada")</f>
        <v>Ada</v>
      </c>
      <c r="O126" s="41" t="n">
        <f aca="false">IF(M126&gt;0,MIN(J126:L126),"-")</f>
        <v>536231</v>
      </c>
      <c r="P126" s="41" t="n">
        <f aca="false">IF(M126&gt;0,AVERAGE(J126:L126),"-")</f>
        <v>536231</v>
      </c>
      <c r="Q126" s="41" t="n">
        <f aca="false">IF(M126&gt;0,O126-G126,"-")</f>
        <v>64811</v>
      </c>
      <c r="R126" s="42" t="n">
        <f aca="false">IF(M126&gt;0,IFERROR(Q126/O126,"-"),"-")</f>
        <v>0.120863956018955</v>
      </c>
      <c r="S126" s="41" t="n">
        <f aca="false">IF(M126&gt;0,ROUND(MAX(G126*1.08,O126*0.97)/100,0)*100,ROUND(G126*1.12/100,0)*100)</f>
        <v>520100</v>
      </c>
      <c r="T126" s="42" t="n">
        <f aca="false">IFERROR((S126-G126)/S126,"-")</f>
        <v>0.0935973851182465</v>
      </c>
    </row>
    <row r="127" customFormat="false" ht="15" hidden="false" customHeight="false" outlineLevel="0" collapsed="false">
      <c r="A127" s="8" t="s">
        <v>877</v>
      </c>
      <c r="B127" s="8" t="s">
        <v>1007</v>
      </c>
      <c r="C127" s="8" t="s">
        <v>1008</v>
      </c>
      <c r="D127" s="8" t="s">
        <v>22</v>
      </c>
      <c r="E127" s="8" t="n">
        <v>7290</v>
      </c>
      <c r="F127" s="38" t="n">
        <f aca="false">IFERROR(VALUE(SUBSTITUTE(SUBSTITUTE('FF INDOFLAZ'!E24,"Rp. ",""),".","")),'FF INDOFLAZ'!E24)</f>
        <v>887191</v>
      </c>
      <c r="G127" s="38" t="n">
        <f aca="false">IFERROR(VALUE(SUBSTITUTE(SUBSTITUTE('FF INDOFLAZ'!F24,"Rp. ",""),".","")),'FF INDOFLAZ'!F24)</f>
        <v>878577</v>
      </c>
      <c r="H127" s="38" t="n">
        <f aca="false">IFERROR(VALUE(SUBSTITUTE(SUBSTITUTE('FF INDOFLAZ'!G24,"Rp. ",""),".","")),'FF INDOFLAZ'!G24)</f>
        <v>869964</v>
      </c>
      <c r="I127" s="8" t="s">
        <v>2630</v>
      </c>
      <c r="J127" s="38" t="n">
        <f aca="false">'FF OURA STORE'!A218</f>
        <v>973192</v>
      </c>
      <c r="K127" s="39"/>
      <c r="L127" s="39"/>
      <c r="M127" s="8" t="n">
        <f aca="false">COUNT(J127:L127)</f>
        <v>1</v>
      </c>
      <c r="N127" s="40" t="str">
        <f aca="false">IF(M127&gt;0,"Ada","Tidak Ada")</f>
        <v>Ada</v>
      </c>
      <c r="O127" s="41" t="n">
        <f aca="false">IF(M127&gt;0,MIN(J127:L127),"-")</f>
        <v>973192</v>
      </c>
      <c r="P127" s="41" t="n">
        <f aca="false">IF(M127&gt;0,AVERAGE(J127:L127),"-")</f>
        <v>973192</v>
      </c>
      <c r="Q127" s="41" t="n">
        <f aca="false">IF(M127&gt;0,O127-G127,"-")</f>
        <v>94615</v>
      </c>
      <c r="R127" s="42" t="n">
        <f aca="false">IF(M127&gt;0,IFERROR(Q127/O127,"-"),"-")</f>
        <v>0.0972213088475861</v>
      </c>
      <c r="S127" s="41" t="n">
        <f aca="false">IF(M127&gt;0,ROUND(MAX(G127*1.08,O127*0.97)/100,0)*100,ROUND(G127*1.12/100,0)*100)</f>
        <v>948900</v>
      </c>
      <c r="T127" s="42" t="n">
        <f aca="false">IFERROR((S127-G127)/S127,"-")</f>
        <v>0.0741100221308884</v>
      </c>
    </row>
    <row r="128" customFormat="false" ht="15" hidden="false" customHeight="false" outlineLevel="0" collapsed="false">
      <c r="A128" s="8" t="s">
        <v>877</v>
      </c>
      <c r="B128" s="8" t="s">
        <v>1013</v>
      </c>
      <c r="C128" s="8" t="s">
        <v>1014</v>
      </c>
      <c r="D128" s="8" t="s">
        <v>22</v>
      </c>
      <c r="E128" s="8" t="n">
        <v>36500</v>
      </c>
      <c r="F128" s="38" t="n">
        <f aca="false">IFERROR(VALUE(SUBSTITUTE(SUBSTITUTE('FF INDOFLAZ'!E25,"Rp. ",""),".","")),'FF INDOFLAZ'!E25)</f>
        <v>4733251</v>
      </c>
      <c r="G128" s="38" t="n">
        <f aca="false">IFERROR(VALUE(SUBSTITUTE(SUBSTITUTE('FF INDOFLAZ'!F25,"Rp. ",""),".","")),'FF INDOFLAZ'!F25)</f>
        <v>4687297</v>
      </c>
      <c r="H128" s="38" t="n">
        <f aca="false">IFERROR(VALUE(SUBSTITUTE(SUBSTITUTE('FF INDOFLAZ'!G25,"Rp. ",""),".","")),'FF INDOFLAZ'!G25)</f>
        <v>4641343</v>
      </c>
      <c r="I128" s="8" t="s">
        <v>2630</v>
      </c>
      <c r="J128" s="38" t="n">
        <f aca="false">'FF OURA STORE'!A244</f>
        <v>4865959</v>
      </c>
      <c r="K128" s="39"/>
      <c r="L128" s="39"/>
      <c r="M128" s="8" t="n">
        <f aca="false">COUNT(J128:L128)</f>
        <v>1</v>
      </c>
      <c r="N128" s="40" t="str">
        <f aca="false">IF(M128&gt;0,"Ada","Tidak Ada")</f>
        <v>Ada</v>
      </c>
      <c r="O128" s="41" t="n">
        <f aca="false">IF(M128&gt;0,MIN(J128:L128),"-")</f>
        <v>4865959</v>
      </c>
      <c r="P128" s="41" t="n">
        <f aca="false">IF(M128&gt;0,AVERAGE(J128:L128),"-")</f>
        <v>4865959</v>
      </c>
      <c r="Q128" s="41" t="n">
        <f aca="false">IF(M128&gt;0,O128-G128,"-")</f>
        <v>178662</v>
      </c>
      <c r="R128" s="42" t="n">
        <f aca="false">IF(M128&gt;0,IFERROR(Q128/O128,"-"),"-")</f>
        <v>0.036716708874859</v>
      </c>
      <c r="S128" s="41" t="n">
        <f aca="false">IF(M128&gt;0,ROUND(MAX(G128*1.08,O128*0.97)/100,0)*100,ROUND(G128*1.12/100,0)*100)</f>
        <v>5062300</v>
      </c>
      <c r="T128" s="42" t="n">
        <f aca="false">IFERROR((S128-G128)/S128,"-")</f>
        <v>0.0740775931888667</v>
      </c>
    </row>
    <row r="129" customFormat="false" ht="15" hidden="false" customHeight="false" outlineLevel="0" collapsed="false">
      <c r="A129" s="8" t="s">
        <v>877</v>
      </c>
      <c r="B129" s="8" t="s">
        <v>1019</v>
      </c>
      <c r="C129" s="8" t="s">
        <v>1020</v>
      </c>
      <c r="D129" s="8" t="s">
        <v>22</v>
      </c>
      <c r="E129" s="8" t="n">
        <v>73100</v>
      </c>
      <c r="F129" s="38" t="n">
        <f aca="false">IFERROR(VALUE(SUBSTITUTE(SUBSTITUTE('FF INDOFLAZ'!E26,"Rp. ",""),".","")),'FF INDOFLAZ'!E26)</f>
        <v>9373026</v>
      </c>
      <c r="G129" s="38" t="n">
        <f aca="false">IFERROR(VALUE(SUBSTITUTE(SUBSTITUTE('FF INDOFLAZ'!F26,"Rp. ",""),".","")),'FF INDOFLAZ'!F26)</f>
        <v>9282026</v>
      </c>
      <c r="H129" s="38" t="n">
        <f aca="false">IFERROR(VALUE(SUBSTITUTE(SUBSTITUTE('FF INDOFLAZ'!G26,"Rp. ",""),".","")),'FF INDOFLAZ'!G26)</f>
        <v>9191026</v>
      </c>
      <c r="I129" s="8" t="s">
        <v>2630</v>
      </c>
      <c r="J129" s="38" t="n">
        <f aca="false">'FF OURA STORE'!A248</f>
        <v>9731918</v>
      </c>
      <c r="K129" s="39"/>
      <c r="L129" s="39"/>
      <c r="M129" s="8" t="n">
        <f aca="false">COUNT(J129:L129)</f>
        <v>1</v>
      </c>
      <c r="N129" s="40" t="str">
        <f aca="false">IF(M129&gt;0,"Ada","Tidak Ada")</f>
        <v>Ada</v>
      </c>
      <c r="O129" s="41" t="n">
        <f aca="false">IF(M129&gt;0,MIN(J129:L129),"-")</f>
        <v>9731918</v>
      </c>
      <c r="P129" s="41" t="n">
        <f aca="false">IF(M129&gt;0,AVERAGE(J129:L129),"-")</f>
        <v>9731918</v>
      </c>
      <c r="Q129" s="41" t="n">
        <f aca="false">IF(M129&gt;0,O129-G129,"-")</f>
        <v>449892</v>
      </c>
      <c r="R129" s="42" t="n">
        <f aca="false">IF(M129&gt;0,IFERROR(Q129/O129,"-"),"-")</f>
        <v>0.0462285029528609</v>
      </c>
      <c r="S129" s="41" t="n">
        <f aca="false">IF(M129&gt;0,ROUND(MAX(G129*1.08,O129*0.97)/100,0)*100,ROUND(G129*1.12/100,0)*100)</f>
        <v>10024600</v>
      </c>
      <c r="T129" s="42" t="n">
        <f aca="false">IFERROR((S129-G129)/S129,"-")</f>
        <v>0.0740751750693295</v>
      </c>
    </row>
    <row r="130" customFormat="false" ht="15" hidden="false" customHeight="false" outlineLevel="0" collapsed="false">
      <c r="A130" s="8" t="s">
        <v>1210</v>
      </c>
      <c r="B130" s="8" t="n">
        <v>1343</v>
      </c>
      <c r="C130" s="8" t="s">
        <v>1165</v>
      </c>
      <c r="D130" s="8" t="s">
        <v>23</v>
      </c>
      <c r="E130" s="8" t="n">
        <v>60</v>
      </c>
      <c r="F130" s="38" t="n">
        <f aca="false">IFERROR(VALUE(SUBSTITUTE(SUBSTITUTE('PUBG INDOFLAZ'!E2,"Rp. ",""),".","")),'PUBG INDOFLAZ'!E2)</f>
        <v>17047</v>
      </c>
      <c r="G130" s="38" t="n">
        <f aca="false">IFERROR(VALUE(SUBSTITUTE(SUBSTITUTE('PUBG INDOFLAZ'!F2,"Rp. ",""),".","")),'PUBG INDOFLAZ'!F2)</f>
        <v>16726</v>
      </c>
      <c r="H130" s="38" t="n">
        <f aca="false">IFERROR(VALUE(SUBSTITUTE(SUBSTITUTE('PUBG INDOFLAZ'!G2,"Rp. ",""),".","")),'PUBG INDOFLAZ'!G2)</f>
        <v>16404</v>
      </c>
      <c r="I130" s="8" t="s">
        <v>2632</v>
      </c>
      <c r="J130" s="38" t="n">
        <f aca="false">'PUBG OURA STORE'!A4</f>
        <v>17286</v>
      </c>
      <c r="K130" s="38" t="n">
        <f aca="false">'PUBG OURA STORE'!A18</f>
        <v>17031</v>
      </c>
      <c r="L130" s="39"/>
      <c r="M130" s="8" t="n">
        <f aca="false">COUNT(J130:L130)</f>
        <v>2</v>
      </c>
      <c r="N130" s="40" t="str">
        <f aca="false">IF(M130&gt;0,"Ada","Tidak Ada")</f>
        <v>Ada</v>
      </c>
      <c r="O130" s="41" t="n">
        <f aca="false">IF(M130&gt;0,MIN(J130:L130),"-")</f>
        <v>17031</v>
      </c>
      <c r="P130" s="41" t="n">
        <f aca="false">IF(M130&gt;0,AVERAGE(J130:L130),"-")</f>
        <v>17158.5</v>
      </c>
      <c r="Q130" s="41" t="n">
        <f aca="false">IF(M130&gt;0,O130-G130,"-")</f>
        <v>305</v>
      </c>
      <c r="R130" s="42" t="n">
        <f aca="false">IF(M130&gt;0,IFERROR(Q130/O130,"-"),"-")</f>
        <v>0.0179085197580882</v>
      </c>
      <c r="S130" s="41" t="n">
        <f aca="false">IF(M130&gt;0,ROUND(MAX(G130*1.08,O130*0.97)/100,0)*100,ROUND(G130*1.12/100,0)*100)</f>
        <v>18100</v>
      </c>
      <c r="T130" s="42" t="n">
        <f aca="false">IFERROR((S130-G130)/S130,"-")</f>
        <v>0.0759116022099448</v>
      </c>
    </row>
    <row r="131" customFormat="false" ht="15" hidden="false" customHeight="false" outlineLevel="0" collapsed="false">
      <c r="A131" s="8" t="s">
        <v>1210</v>
      </c>
      <c r="B131" s="8" t="n">
        <v>1459</v>
      </c>
      <c r="C131" s="8" t="s">
        <v>1215</v>
      </c>
      <c r="D131" s="8" t="s">
        <v>23</v>
      </c>
      <c r="E131" s="8" t="n">
        <v>120</v>
      </c>
      <c r="F131" s="38" t="n">
        <f aca="false">IFERROR(VALUE(SUBSTITUTE(SUBSTITUTE('PUBG INDOFLAZ'!E3,"Rp. ",""),".","")),'PUBG INDOFLAZ'!E3)</f>
        <v>34093</v>
      </c>
      <c r="G131" s="38" t="n">
        <f aca="false">IFERROR(VALUE(SUBSTITUTE(SUBSTITUTE('PUBG INDOFLAZ'!F3,"Rp. ",""),".","")),'PUBG INDOFLAZ'!F3)</f>
        <v>33450</v>
      </c>
      <c r="H131" s="38" t="n">
        <f aca="false">IFERROR(VALUE(SUBSTITUTE(SUBSTITUTE('PUBG INDOFLAZ'!G3,"Rp. ",""),".","")),'PUBG INDOFLAZ'!G3)</f>
        <v>32807</v>
      </c>
      <c r="I131" s="8" t="s">
        <v>2633</v>
      </c>
      <c r="J131" s="38" t="n">
        <f aca="false">'PUBG OURA STORE'!A20</f>
        <v>34061</v>
      </c>
      <c r="K131" s="38" t="str">
        <f aca="false">'PUBG EMPESHOP'!A2</f>
        <v>Rp 32.457,-</v>
      </c>
      <c r="L131" s="39"/>
      <c r="M131" s="8" t="n">
        <f aca="false">COUNT(J131:L131)</f>
        <v>1</v>
      </c>
      <c r="N131" s="40" t="str">
        <f aca="false">IF(M131&gt;0,"Ada","Tidak Ada")</f>
        <v>Ada</v>
      </c>
      <c r="O131" s="41" t="n">
        <f aca="false">IF(M131&gt;0,MIN(J131:L131),"-")</f>
        <v>34061</v>
      </c>
      <c r="P131" s="41" t="n">
        <f aca="false">IF(M131&gt;0,AVERAGE(J131:L131),"-")</f>
        <v>34061</v>
      </c>
      <c r="Q131" s="41" t="n">
        <f aca="false">IF(M131&gt;0,O131-G131,"-")</f>
        <v>611</v>
      </c>
      <c r="R131" s="42" t="n">
        <f aca="false">IF(M131&gt;0,IFERROR(Q131/O131,"-"),"-")</f>
        <v>0.0179384046269927</v>
      </c>
      <c r="S131" s="41" t="n">
        <f aca="false">IF(M131&gt;0,ROUND(MAX(G131*1.08,O131*0.97)/100,0)*100,ROUND(G131*1.12/100,0)*100)</f>
        <v>36100</v>
      </c>
      <c r="T131" s="42" t="n">
        <f aca="false">IFERROR((S131-G131)/S131,"-")</f>
        <v>0.0734072022160665</v>
      </c>
    </row>
    <row r="132" customFormat="false" ht="15" hidden="false" customHeight="false" outlineLevel="0" collapsed="false">
      <c r="A132" s="8" t="s">
        <v>1210</v>
      </c>
      <c r="B132" s="8" t="n">
        <v>1344</v>
      </c>
      <c r="C132" s="8" t="s">
        <v>1219</v>
      </c>
      <c r="D132" s="8" t="s">
        <v>23</v>
      </c>
      <c r="E132" s="8" t="n">
        <v>300</v>
      </c>
      <c r="F132" s="38" t="n">
        <f aca="false">IFERROR(VALUE(SUBSTITUTE(SUBSTITUTE('PUBG INDOFLAZ'!E4,"Rp. ",""),".","")),'PUBG INDOFLAZ'!E4)</f>
        <v>86008</v>
      </c>
      <c r="G132" s="38" t="n">
        <f aca="false">IFERROR(VALUE(SUBSTITUTE(SUBSTITUTE('PUBG INDOFLAZ'!F4,"Rp. ",""),".","")),'PUBG INDOFLAZ'!F4)</f>
        <v>84385</v>
      </c>
      <c r="H132" s="38" t="n">
        <f aca="false">IFERROR(VALUE(SUBSTITUTE(SUBSTITUTE('PUBG INDOFLAZ'!G4,"Rp. ",""),".","")),'PUBG INDOFLAZ'!G4)</f>
        <v>82762</v>
      </c>
      <c r="I132" s="8" t="s">
        <v>2625</v>
      </c>
      <c r="J132" s="39"/>
      <c r="K132" s="39"/>
      <c r="L132" s="39"/>
      <c r="M132" s="8" t="n">
        <f aca="false">COUNT(J132:L132)</f>
        <v>0</v>
      </c>
      <c r="N132" s="40" t="str">
        <f aca="false">IF(M132&gt;0,"Ada","Tidak Ada")</f>
        <v>Tidak Ada</v>
      </c>
      <c r="O132" s="41" t="str">
        <f aca="false">IF(M132&gt;0,MIN(J132:L132),"-")</f>
        <v>-</v>
      </c>
      <c r="P132" s="41" t="str">
        <f aca="false">IF(M132&gt;0,AVERAGE(J132:L132),"-")</f>
        <v>-</v>
      </c>
      <c r="Q132" s="41" t="str">
        <f aca="false">IF(M132&gt;0,O132-G132,"-")</f>
        <v>-</v>
      </c>
      <c r="R132" s="42" t="str">
        <f aca="false">IF(M132&gt;0,IFERROR(Q132/O132,"-"),"-")</f>
        <v>-</v>
      </c>
      <c r="S132" s="41" t="n">
        <f aca="false">IF(M132&gt;0,ROUND(MAX(G132*1.08,O132*0.97)/100,0)*100,ROUND(G132*1.12/100,0)*100)</f>
        <v>94500</v>
      </c>
      <c r="T132" s="42" t="n">
        <f aca="false">IFERROR((S132-G132)/S132,"-")</f>
        <v>0.107037037037037</v>
      </c>
    </row>
    <row r="133" customFormat="false" ht="15" hidden="false" customHeight="false" outlineLevel="0" collapsed="false">
      <c r="A133" s="8" t="s">
        <v>1210</v>
      </c>
      <c r="B133" s="8" t="n">
        <v>1345</v>
      </c>
      <c r="C133" s="8" t="s">
        <v>1224</v>
      </c>
      <c r="D133" s="8" t="s">
        <v>23</v>
      </c>
      <c r="E133" s="8" t="n">
        <v>600</v>
      </c>
      <c r="F133" s="38" t="n">
        <f aca="false">IFERROR(VALUE(SUBSTITUTE(SUBSTITUTE('PUBG INDOFLAZ'!E5,"Rp. ",""),".","")),'PUBG INDOFLAZ'!E5)</f>
        <v>172209</v>
      </c>
      <c r="G133" s="38" t="n">
        <f aca="false">IFERROR(VALUE(SUBSTITUTE(SUBSTITUTE('PUBG INDOFLAZ'!F5,"Rp. ",""),".","")),'PUBG INDOFLAZ'!F5)</f>
        <v>168960</v>
      </c>
      <c r="H133" s="38" t="n">
        <f aca="false">IFERROR(VALUE(SUBSTITUTE(SUBSTITUTE('PUBG INDOFLAZ'!G5,"Rp. ",""),".","")),'PUBG INDOFLAZ'!G5)</f>
        <v>165711</v>
      </c>
      <c r="I133" s="8" t="s">
        <v>2634</v>
      </c>
      <c r="J133" s="38" t="str">
        <f aca="false">'PUBG EMPESHOP'!A6</f>
        <v>Rp 162.280,-</v>
      </c>
      <c r="K133" s="39"/>
      <c r="L133" s="39"/>
      <c r="M133" s="8" t="n">
        <f aca="false">COUNT(J133:L133)</f>
        <v>0</v>
      </c>
      <c r="N133" s="40" t="str">
        <f aca="false">IF(M133&gt;0,"Ada","Tidak Ada")</f>
        <v>Tidak Ada</v>
      </c>
      <c r="O133" s="41" t="str">
        <f aca="false">IF(M133&gt;0,MIN(J133:L133),"-")</f>
        <v>-</v>
      </c>
      <c r="P133" s="41" t="str">
        <f aca="false">IF(M133&gt;0,AVERAGE(J133:L133),"-")</f>
        <v>-</v>
      </c>
      <c r="Q133" s="41" t="str">
        <f aca="false">IF(M133&gt;0,O133-G133,"-")</f>
        <v>-</v>
      </c>
      <c r="R133" s="42" t="str">
        <f aca="false">IF(M133&gt;0,IFERROR(Q133/O133,"-"),"-")</f>
        <v>-</v>
      </c>
      <c r="S133" s="41" t="n">
        <f aca="false">IF(M133&gt;0,ROUND(MAX(G133*1.08,O133*0.97)/100,0)*100,ROUND(G133*1.12/100,0)*100)</f>
        <v>189200</v>
      </c>
      <c r="T133" s="42" t="n">
        <f aca="false">IFERROR((S133-G133)/S133,"-")</f>
        <v>0.106976744186047</v>
      </c>
    </row>
    <row r="134" customFormat="false" ht="15" hidden="false" customHeight="false" outlineLevel="0" collapsed="false">
      <c r="A134" s="8" t="s">
        <v>1210</v>
      </c>
      <c r="B134" s="8" t="n">
        <v>1125</v>
      </c>
      <c r="C134" s="8" t="s">
        <v>1229</v>
      </c>
      <c r="D134" s="8" t="s">
        <v>23</v>
      </c>
      <c r="E134" s="8" t="n">
        <v>3000</v>
      </c>
      <c r="F134" s="38" t="n">
        <f aca="false">IFERROR(VALUE(SUBSTITUTE(SUBSTITUTE('PUBG INDOFLAZ'!E6,"Rp. ",""),".","")),'PUBG INDOFLAZ'!E6)</f>
        <v>861819</v>
      </c>
      <c r="G134" s="38" t="n">
        <f aca="false">IFERROR(VALUE(SUBSTITUTE(SUBSTITUTE('PUBG INDOFLAZ'!F6,"Rp. ",""),".","")),'PUBG INDOFLAZ'!F6)</f>
        <v>845558</v>
      </c>
      <c r="H134" s="38" t="n">
        <f aca="false">IFERROR(VALUE(SUBSTITUTE(SUBSTITUTE('PUBG INDOFLAZ'!G6,"Rp. ",""),".","")),'PUBG INDOFLAZ'!G6)</f>
        <v>829297</v>
      </c>
      <c r="I134" s="8" t="s">
        <v>2625</v>
      </c>
      <c r="J134" s="39"/>
      <c r="K134" s="39"/>
      <c r="L134" s="39"/>
      <c r="M134" s="8" t="n">
        <f aca="false">COUNT(J134:L134)</f>
        <v>0</v>
      </c>
      <c r="N134" s="40" t="str">
        <f aca="false">IF(M134&gt;0,"Ada","Tidak Ada")</f>
        <v>Tidak Ada</v>
      </c>
      <c r="O134" s="41" t="str">
        <f aca="false">IF(M134&gt;0,MIN(J134:L134),"-")</f>
        <v>-</v>
      </c>
      <c r="P134" s="41" t="str">
        <f aca="false">IF(M134&gt;0,AVERAGE(J134:L134),"-")</f>
        <v>-</v>
      </c>
      <c r="Q134" s="41" t="str">
        <f aca="false">IF(M134&gt;0,O134-G134,"-")</f>
        <v>-</v>
      </c>
      <c r="R134" s="42" t="str">
        <f aca="false">IF(M134&gt;0,IFERROR(Q134/O134,"-"),"-")</f>
        <v>-</v>
      </c>
      <c r="S134" s="41" t="n">
        <f aca="false">IF(M134&gt;0,ROUND(MAX(G134*1.08,O134*0.97)/100,0)*100,ROUND(G134*1.12/100,0)*100)</f>
        <v>947000</v>
      </c>
      <c r="T134" s="42" t="n">
        <f aca="false">IFERROR((S134-G134)/S134,"-")</f>
        <v>0.107119324181626</v>
      </c>
    </row>
    <row r="135" customFormat="false" ht="15" hidden="false" customHeight="false" outlineLevel="0" collapsed="false">
      <c r="A135" s="8" t="s">
        <v>1210</v>
      </c>
      <c r="B135" s="8" t="n">
        <v>1342</v>
      </c>
      <c r="C135" s="8" t="s">
        <v>1234</v>
      </c>
      <c r="D135" s="8" t="s">
        <v>23</v>
      </c>
      <c r="E135" s="8" t="n">
        <v>6000</v>
      </c>
      <c r="F135" s="38" t="n">
        <f aca="false">IFERROR(VALUE(SUBSTITUTE(SUBSTITUTE('PUBG INDOFLAZ'!E7,"Rp. ",""),".","")),'PUBG INDOFLAZ'!E7)</f>
        <v>1723831</v>
      </c>
      <c r="G135" s="38" t="n">
        <f aca="false">IFERROR(VALUE(SUBSTITUTE(SUBSTITUTE('PUBG INDOFLAZ'!F7,"Rp. ",""),".","")),'PUBG INDOFLAZ'!F7)</f>
        <v>1691306</v>
      </c>
      <c r="H135" s="38" t="n">
        <f aca="false">IFERROR(VALUE(SUBSTITUTE(SUBSTITUTE('PUBG INDOFLAZ'!G7,"Rp. ",""),".","")),'PUBG INDOFLAZ'!G7)</f>
        <v>1658781</v>
      </c>
      <c r="I135" s="8" t="s">
        <v>2625</v>
      </c>
      <c r="J135" s="39"/>
      <c r="K135" s="39"/>
      <c r="L135" s="39"/>
      <c r="M135" s="8" t="n">
        <f aca="false">COUNT(J135:L135)</f>
        <v>0</v>
      </c>
      <c r="N135" s="40" t="str">
        <f aca="false">IF(M135&gt;0,"Ada","Tidak Ada")</f>
        <v>Tidak Ada</v>
      </c>
      <c r="O135" s="41" t="str">
        <f aca="false">IF(M135&gt;0,MIN(J135:L135),"-")</f>
        <v>-</v>
      </c>
      <c r="P135" s="41" t="str">
        <f aca="false">IF(M135&gt;0,AVERAGE(J135:L135),"-")</f>
        <v>-</v>
      </c>
      <c r="Q135" s="41" t="str">
        <f aca="false">IF(M135&gt;0,O135-G135,"-")</f>
        <v>-</v>
      </c>
      <c r="R135" s="42" t="str">
        <f aca="false">IF(M135&gt;0,IFERROR(Q135/O135,"-"),"-")</f>
        <v>-</v>
      </c>
      <c r="S135" s="41" t="n">
        <f aca="false">IF(M135&gt;0,ROUND(MAX(G135*1.08,O135*0.97)/100,0)*100,ROUND(G135*1.12/100,0)*100)</f>
        <v>1894300</v>
      </c>
      <c r="T135" s="42" t="n">
        <f aca="false">IFERROR((S135-G135)/S135,"-")</f>
        <v>0.107160428654384</v>
      </c>
    </row>
    <row r="136" customFormat="false" ht="15" hidden="false" customHeight="false" outlineLevel="0" collapsed="false">
      <c r="A136" s="8" t="s">
        <v>1210</v>
      </c>
      <c r="B136" s="8" t="n">
        <v>1454</v>
      </c>
      <c r="C136" s="8" t="s">
        <v>1239</v>
      </c>
      <c r="D136" s="8" t="s">
        <v>23</v>
      </c>
      <c r="E136" s="8" t="n">
        <v>12000</v>
      </c>
      <c r="F136" s="38" t="n">
        <f aca="false">IFERROR(VALUE(SUBSTITUTE(SUBSTITUTE('PUBG INDOFLAZ'!E8,"Rp. ",""),".","")),'PUBG INDOFLAZ'!E8)</f>
        <v>3447660</v>
      </c>
      <c r="G136" s="38" t="n">
        <f aca="false">IFERROR(VALUE(SUBSTITUTE(SUBSTITUTE('PUBG INDOFLAZ'!F8,"Rp. ",""),".","")),'PUBG INDOFLAZ'!F8)</f>
        <v>3382610</v>
      </c>
      <c r="H136" s="38" t="n">
        <f aca="false">IFERROR(VALUE(SUBSTITUTE(SUBSTITUTE('PUBG INDOFLAZ'!G8,"Rp. ",""),".","")),'PUBG INDOFLAZ'!G8)</f>
        <v>3317560</v>
      </c>
      <c r="I136" s="8" t="s">
        <v>2625</v>
      </c>
      <c r="J136" s="39"/>
      <c r="K136" s="39"/>
      <c r="L136" s="39"/>
      <c r="M136" s="8" t="n">
        <f aca="false">COUNT(J136:L136)</f>
        <v>0</v>
      </c>
      <c r="N136" s="40" t="str">
        <f aca="false">IF(M136&gt;0,"Ada","Tidak Ada")</f>
        <v>Tidak Ada</v>
      </c>
      <c r="O136" s="41" t="str">
        <f aca="false">IF(M136&gt;0,MIN(J136:L136),"-")</f>
        <v>-</v>
      </c>
      <c r="P136" s="41" t="str">
        <f aca="false">IF(M136&gt;0,AVERAGE(J136:L136),"-")</f>
        <v>-</v>
      </c>
      <c r="Q136" s="41" t="str">
        <f aca="false">IF(M136&gt;0,O136-G136,"-")</f>
        <v>-</v>
      </c>
      <c r="R136" s="42" t="str">
        <f aca="false">IF(M136&gt;0,IFERROR(Q136/O136,"-"),"-")</f>
        <v>-</v>
      </c>
      <c r="S136" s="41" t="n">
        <f aca="false">IF(M136&gt;0,ROUND(MAX(G136*1.08,O136*0.97)/100,0)*100,ROUND(G136*1.12/100,0)*100)</f>
        <v>3788500</v>
      </c>
      <c r="T136" s="42" t="n">
        <f aca="false">IFERROR((S136-G136)/S136,"-")</f>
        <v>0.107137389468127</v>
      </c>
    </row>
    <row r="137" customFormat="false" ht="15" hidden="false" customHeight="false" outlineLevel="0" collapsed="false">
      <c r="A137" s="8" t="s">
        <v>1210</v>
      </c>
      <c r="B137" s="8" t="n">
        <v>1455</v>
      </c>
      <c r="C137" s="8" t="s">
        <v>1244</v>
      </c>
      <c r="D137" s="8" t="s">
        <v>23</v>
      </c>
      <c r="E137" s="8" t="n">
        <v>18000</v>
      </c>
      <c r="F137" s="38" t="n">
        <f aca="false">IFERROR(VALUE(SUBSTITUTE(SUBSTITUTE('PUBG INDOFLAZ'!E9,"Rp. ",""),".","")),'PUBG INDOFLAZ'!E9)</f>
        <v>5171490</v>
      </c>
      <c r="G137" s="38" t="n">
        <f aca="false">IFERROR(VALUE(SUBSTITUTE(SUBSTITUTE('PUBG INDOFLAZ'!F9,"Rp. ",""),".","")),'PUBG INDOFLAZ'!F9)</f>
        <v>5073915</v>
      </c>
      <c r="H137" s="38" t="n">
        <f aca="false">IFERROR(VALUE(SUBSTITUTE(SUBSTITUTE('PUBG INDOFLAZ'!G9,"Rp. ",""),".","")),'PUBG INDOFLAZ'!G9)</f>
        <v>4976340</v>
      </c>
      <c r="I137" s="8" t="s">
        <v>2625</v>
      </c>
      <c r="J137" s="39"/>
      <c r="K137" s="39"/>
      <c r="L137" s="39"/>
      <c r="M137" s="8" t="n">
        <f aca="false">COUNT(J137:L137)</f>
        <v>0</v>
      </c>
      <c r="N137" s="40" t="str">
        <f aca="false">IF(M137&gt;0,"Ada","Tidak Ada")</f>
        <v>Tidak Ada</v>
      </c>
      <c r="O137" s="41" t="str">
        <f aca="false">IF(M137&gt;0,MIN(J137:L137),"-")</f>
        <v>-</v>
      </c>
      <c r="P137" s="41" t="str">
        <f aca="false">IF(M137&gt;0,AVERAGE(J137:L137),"-")</f>
        <v>-</v>
      </c>
      <c r="Q137" s="41" t="str">
        <f aca="false">IF(M137&gt;0,O137-G137,"-")</f>
        <v>-</v>
      </c>
      <c r="R137" s="42" t="str">
        <f aca="false">IF(M137&gt;0,IFERROR(Q137/O137,"-"),"-")</f>
        <v>-</v>
      </c>
      <c r="S137" s="41" t="n">
        <f aca="false">IF(M137&gt;0,ROUND(MAX(G137*1.08,O137*0.97)/100,0)*100,ROUND(G137*1.12/100,0)*100)</f>
        <v>5682800</v>
      </c>
      <c r="T137" s="42" t="n">
        <f aca="false">IFERROR((S137-G137)/S137,"-")</f>
        <v>0.107145245301612</v>
      </c>
    </row>
    <row r="138" customFormat="false" ht="15" hidden="false" customHeight="false" outlineLevel="0" collapsed="false">
      <c r="A138" s="8" t="s">
        <v>1210</v>
      </c>
      <c r="B138" s="8" t="n">
        <v>1456</v>
      </c>
      <c r="C138" s="8" t="s">
        <v>1249</v>
      </c>
      <c r="D138" s="8" t="s">
        <v>23</v>
      </c>
      <c r="E138" s="8" t="n">
        <v>24000</v>
      </c>
      <c r="F138" s="38" t="n">
        <f aca="false">IFERROR(VALUE(SUBSTITUTE(SUBSTITUTE('PUBG INDOFLAZ'!E10,"Rp. ",""),".","")),'PUBG INDOFLAZ'!E10)</f>
        <v>6895320</v>
      </c>
      <c r="G138" s="38" t="n">
        <f aca="false">IFERROR(VALUE(SUBSTITUTE(SUBSTITUTE('PUBG INDOFLAZ'!F10,"Rp. ",""),".","")),'PUBG INDOFLAZ'!F10)</f>
        <v>6765219</v>
      </c>
      <c r="H138" s="38" t="n">
        <f aca="false">IFERROR(VALUE(SUBSTITUTE(SUBSTITUTE('PUBG INDOFLAZ'!G10,"Rp. ",""),".","")),'PUBG INDOFLAZ'!G10)</f>
        <v>6635119</v>
      </c>
      <c r="I138" s="8" t="s">
        <v>2625</v>
      </c>
      <c r="J138" s="39"/>
      <c r="K138" s="39"/>
      <c r="L138" s="39"/>
      <c r="M138" s="8" t="n">
        <f aca="false">COUNT(J138:L138)</f>
        <v>0</v>
      </c>
      <c r="N138" s="40" t="str">
        <f aca="false">IF(M138&gt;0,"Ada","Tidak Ada")</f>
        <v>Tidak Ada</v>
      </c>
      <c r="O138" s="41" t="str">
        <f aca="false">IF(M138&gt;0,MIN(J138:L138),"-")</f>
        <v>-</v>
      </c>
      <c r="P138" s="41" t="str">
        <f aca="false">IF(M138&gt;0,AVERAGE(J138:L138),"-")</f>
        <v>-</v>
      </c>
      <c r="Q138" s="41" t="str">
        <f aca="false">IF(M138&gt;0,O138-G138,"-")</f>
        <v>-</v>
      </c>
      <c r="R138" s="42" t="str">
        <f aca="false">IF(M138&gt;0,IFERROR(Q138/O138,"-"),"-")</f>
        <v>-</v>
      </c>
      <c r="S138" s="41" t="n">
        <f aca="false">IF(M138&gt;0,ROUND(MAX(G138*1.08,O138*0.97)/100,0)*100,ROUND(G138*1.12/100,0)*100)</f>
        <v>7577000</v>
      </c>
      <c r="T138" s="42" t="n">
        <f aca="false">IFERROR((S138-G138)/S138,"-")</f>
        <v>0.107137521446483</v>
      </c>
    </row>
    <row r="139" customFormat="false" ht="15" hidden="false" customHeight="false" outlineLevel="0" collapsed="false">
      <c r="A139" s="8" t="s">
        <v>1268</v>
      </c>
      <c r="B139" s="8" t="s">
        <v>1267</v>
      </c>
      <c r="C139" s="8" t="s">
        <v>1269</v>
      </c>
      <c r="D139" s="8" t="s">
        <v>24</v>
      </c>
      <c r="E139" s="8" t="n">
        <v>475</v>
      </c>
      <c r="F139" s="38" t="n">
        <f aca="false">IFERROR(VALUE(SUBSTITUTE(SUBSTITUTE('VALO INDOFLAZZ'!E2,"Rp. ",""),".","")),'VALO INDOFLAZZ'!E2)</f>
        <v>53597</v>
      </c>
      <c r="G139" s="38" t="n">
        <f aca="false">IFERROR(VALUE(SUBSTITUTE(SUBSTITUTE('VALO INDOFLAZZ'!F2,"Rp. ",""),".","")),'VALO INDOFLAZZ'!F2)</f>
        <v>53076</v>
      </c>
      <c r="H139" s="38" t="n">
        <f aca="false">IFERROR(VALUE(SUBSTITUTE(SUBSTITUTE('VALO INDOFLAZZ'!G2,"Rp. ",""),".","")),'VALO INDOFLAZZ'!G2)</f>
        <v>52556</v>
      </c>
      <c r="I139" s="8" t="s">
        <v>2635</v>
      </c>
      <c r="J139" s="38" t="n">
        <f aca="false">'VALO OURA STORE'!A4</f>
        <v>54259</v>
      </c>
      <c r="K139" s="38" t="n">
        <f aca="false">'VALO OURA STORE'!A70</f>
        <v>77823</v>
      </c>
      <c r="L139" s="38" t="n">
        <f aca="false">'VALO OURA STORE'!A84</f>
        <v>73549</v>
      </c>
      <c r="M139" s="8" t="n">
        <f aca="false">COUNT(J139:L139)</f>
        <v>3</v>
      </c>
      <c r="N139" s="40" t="str">
        <f aca="false">IF(M139&gt;0,"Ada","Tidak Ada")</f>
        <v>Ada</v>
      </c>
      <c r="O139" s="41" t="n">
        <f aca="false">IF(M139&gt;0,MIN(J139:L139),"-")</f>
        <v>54259</v>
      </c>
      <c r="P139" s="41" t="n">
        <f aca="false">IF(M139&gt;0,AVERAGE(J139:L139),"-")</f>
        <v>68543.6666666667</v>
      </c>
      <c r="Q139" s="41" t="n">
        <f aca="false">IF(M139&gt;0,O139-G139,"-")</f>
        <v>1183</v>
      </c>
      <c r="R139" s="42" t="n">
        <f aca="false">IF(M139&gt;0,IFERROR(Q139/O139,"-"),"-")</f>
        <v>0.0218028345527931</v>
      </c>
      <c r="S139" s="41" t="n">
        <f aca="false">IF(M139&gt;0,ROUND(MAX(G139*1.08,O139*0.97)/100,0)*100,ROUND(G139*1.12/100,0)*100)</f>
        <v>57300</v>
      </c>
      <c r="T139" s="42" t="n">
        <f aca="false">IFERROR((S139-G139)/S139,"-")</f>
        <v>0.073717277486911</v>
      </c>
    </row>
    <row r="140" customFormat="false" ht="15" hidden="false" customHeight="false" outlineLevel="0" collapsed="false">
      <c r="A140" s="8" t="s">
        <v>1268</v>
      </c>
      <c r="B140" s="8" t="s">
        <v>1274</v>
      </c>
      <c r="C140" s="8" t="s">
        <v>1275</v>
      </c>
      <c r="D140" s="8" t="s">
        <v>24</v>
      </c>
      <c r="E140" s="8" t="n">
        <v>1000</v>
      </c>
      <c r="F140" s="38" t="n">
        <f aca="false">IFERROR(VALUE(SUBSTITUTE(SUBSTITUTE('VALO INDOFLAZZ'!E3,"Rp. ",""),".","")),'VALO INDOFLAZZ'!E3)</f>
        <v>107193</v>
      </c>
      <c r="G140" s="38" t="n">
        <f aca="false">IFERROR(VALUE(SUBSTITUTE(SUBSTITUTE('VALO INDOFLAZZ'!F3,"Rp. ",""),".","")),'VALO INDOFLAZZ'!F3)</f>
        <v>106152</v>
      </c>
      <c r="H140" s="38" t="n">
        <f aca="false">IFERROR(VALUE(SUBSTITUTE(SUBSTITUTE('VALO INDOFLAZZ'!G3,"Rp. ",""),".","")),'VALO INDOFLAZZ'!G3)</f>
        <v>105111</v>
      </c>
      <c r="I140" s="8" t="s">
        <v>2635</v>
      </c>
      <c r="J140" s="38" t="n">
        <f aca="false">'VALO OURA STORE'!A6</f>
        <v>108518</v>
      </c>
      <c r="K140" s="38" t="n">
        <f aca="false">'VALO OURA STORE'!A72</f>
        <v>160166</v>
      </c>
      <c r="L140" s="38" t="n">
        <f aca="false">'VALO OURA STORE'!A86</f>
        <v>147143</v>
      </c>
      <c r="M140" s="8" t="n">
        <f aca="false">COUNT(J140:L140)</f>
        <v>3</v>
      </c>
      <c r="N140" s="40" t="str">
        <f aca="false">IF(M140&gt;0,"Ada","Tidak Ada")</f>
        <v>Ada</v>
      </c>
      <c r="O140" s="41" t="n">
        <f aca="false">IF(M140&gt;0,MIN(J140:L140),"-")</f>
        <v>108518</v>
      </c>
      <c r="P140" s="41" t="n">
        <f aca="false">IF(M140&gt;0,AVERAGE(J140:L140),"-")</f>
        <v>138609</v>
      </c>
      <c r="Q140" s="41" t="n">
        <f aca="false">IF(M140&gt;0,O140-G140,"-")</f>
        <v>2366</v>
      </c>
      <c r="R140" s="42" t="n">
        <f aca="false">IF(M140&gt;0,IFERROR(Q140/O140,"-"),"-")</f>
        <v>0.0218028345527931</v>
      </c>
      <c r="S140" s="41" t="n">
        <f aca="false">IF(M140&gt;0,ROUND(MAX(G140*1.08,O140*0.97)/100,0)*100,ROUND(G140*1.12/100,0)*100)</f>
        <v>114600</v>
      </c>
      <c r="T140" s="42" t="n">
        <f aca="false">IFERROR((S140-G140)/S140,"-")</f>
        <v>0.073717277486911</v>
      </c>
    </row>
    <row r="141" customFormat="false" ht="15" hidden="false" customHeight="false" outlineLevel="0" collapsed="false">
      <c r="A141" s="8" t="s">
        <v>1268</v>
      </c>
      <c r="B141" s="8" t="s">
        <v>1280</v>
      </c>
      <c r="C141" s="8" t="s">
        <v>1281</v>
      </c>
      <c r="D141" s="8" t="s">
        <v>24</v>
      </c>
      <c r="E141" s="8" t="n">
        <v>2050</v>
      </c>
      <c r="F141" s="38" t="n">
        <f aca="false">IFERROR(VALUE(SUBSTITUTE(SUBSTITUTE('VALO INDOFLAZZ'!E4,"Rp. ",""),".","")),'VALO INDOFLAZZ'!E4)</f>
        <v>214386</v>
      </c>
      <c r="G141" s="38" t="n">
        <f aca="false">IFERROR(VALUE(SUBSTITUTE(SUBSTITUTE('VALO INDOFLAZZ'!F4,"Rp. ",""),".","")),'VALO INDOFLAZZ'!F4)</f>
        <v>212304</v>
      </c>
      <c r="H141" s="38" t="n">
        <f aca="false">IFERROR(VALUE(SUBSTITUTE(SUBSTITUTE('VALO INDOFLAZZ'!G4,"Rp. ",""),".","")),'VALO INDOFLAZZ'!G4)</f>
        <v>210223</v>
      </c>
      <c r="I141" s="8" t="s">
        <v>2635</v>
      </c>
      <c r="J141" s="38" t="n">
        <f aca="false">'VALO OURA STORE'!A12</f>
        <v>217034</v>
      </c>
      <c r="K141" s="38" t="n">
        <f aca="false">'VALO OURA STORE'!A74</f>
        <v>312499</v>
      </c>
      <c r="L141" s="38" t="n">
        <f aca="false">'VALO OURA STORE'!A100</f>
        <v>362653</v>
      </c>
      <c r="M141" s="8" t="n">
        <f aca="false">COUNT(J141:L141)</f>
        <v>3</v>
      </c>
      <c r="N141" s="40" t="str">
        <f aca="false">IF(M141&gt;0,"Ada","Tidak Ada")</f>
        <v>Ada</v>
      </c>
      <c r="O141" s="41" t="n">
        <f aca="false">IF(M141&gt;0,MIN(J141:L141),"-")</f>
        <v>217034</v>
      </c>
      <c r="P141" s="41" t="n">
        <f aca="false">IF(M141&gt;0,AVERAGE(J141:L141),"-")</f>
        <v>297395.333333333</v>
      </c>
      <c r="Q141" s="41" t="n">
        <f aca="false">IF(M141&gt;0,O141-G141,"-")</f>
        <v>4730</v>
      </c>
      <c r="R141" s="42" t="n">
        <f aca="false">IF(M141&gt;0,IFERROR(Q141/O141,"-"),"-")</f>
        <v>0.021793820323083</v>
      </c>
      <c r="S141" s="41" t="n">
        <f aca="false">IF(M141&gt;0,ROUND(MAX(G141*1.08,O141*0.97)/100,0)*100,ROUND(G141*1.12/100,0)*100)</f>
        <v>229300</v>
      </c>
      <c r="T141" s="42" t="n">
        <f aca="false">IFERROR((S141-G141)/S141,"-")</f>
        <v>0.0741212385521151</v>
      </c>
    </row>
    <row r="142" customFormat="false" ht="15" hidden="false" customHeight="false" outlineLevel="0" collapsed="false">
      <c r="A142" s="8" t="s">
        <v>1268</v>
      </c>
      <c r="B142" s="8" t="s">
        <v>1286</v>
      </c>
      <c r="C142" s="8" t="s">
        <v>1287</v>
      </c>
      <c r="D142" s="8" t="s">
        <v>24</v>
      </c>
      <c r="E142" s="8" t="n">
        <v>3650</v>
      </c>
      <c r="F142" s="38" t="n">
        <f aca="false">IFERROR(VALUE(SUBSTITUTE(SUBSTITUTE('VALO INDOFLAZZ'!E5,"Rp. ",""),".","")),'VALO INDOFLAZZ'!E5)</f>
        <v>372303</v>
      </c>
      <c r="G142" s="38" t="n">
        <f aca="false">IFERROR(VALUE(SUBSTITUTE(SUBSTITUTE('VALO INDOFLAZZ'!F5,"Rp. ",""),".","")),'VALO INDOFLAZZ'!F5)</f>
        <v>368689</v>
      </c>
      <c r="H142" s="38" t="n">
        <f aca="false">IFERROR(VALUE(SUBSTITUTE(SUBSTITUTE('VALO INDOFLAZZ'!G5,"Rp. ",""),".","")),'VALO INDOFLAZZ'!G5)</f>
        <v>365074</v>
      </c>
      <c r="I142" s="8" t="s">
        <v>2635</v>
      </c>
      <c r="J142" s="38" t="n">
        <f aca="false">'VALO OURA STORE'!A20</f>
        <v>376902</v>
      </c>
      <c r="K142" s="38" t="n">
        <f aca="false">'VALO OURA STORE'!A76</f>
        <v>545520</v>
      </c>
      <c r="L142" s="38" t="n">
        <f aca="false">'VALO OURA STORE'!A88</f>
        <v>520563</v>
      </c>
      <c r="M142" s="8" t="n">
        <f aca="false">COUNT(J142:L142)</f>
        <v>3</v>
      </c>
      <c r="N142" s="40" t="str">
        <f aca="false">IF(M142&gt;0,"Ada","Tidak Ada")</f>
        <v>Ada</v>
      </c>
      <c r="O142" s="41" t="n">
        <f aca="false">IF(M142&gt;0,MIN(J142:L142),"-")</f>
        <v>376902</v>
      </c>
      <c r="P142" s="41" t="n">
        <f aca="false">IF(M142&gt;0,AVERAGE(J142:L142),"-")</f>
        <v>480995</v>
      </c>
      <c r="Q142" s="41" t="n">
        <f aca="false">IF(M142&gt;0,O142-G142,"-")</f>
        <v>8213</v>
      </c>
      <c r="R142" s="42" t="n">
        <f aca="false">IF(M142&gt;0,IFERROR(Q142/O142,"-"),"-")</f>
        <v>0.0217908103432723</v>
      </c>
      <c r="S142" s="41" t="n">
        <f aca="false">IF(M142&gt;0,ROUND(MAX(G142*1.08,O142*0.97)/100,0)*100,ROUND(G142*1.12/100,0)*100)</f>
        <v>398200</v>
      </c>
      <c r="T142" s="42" t="n">
        <f aca="false">IFERROR((S142-G142)/S142,"-")</f>
        <v>0.0741109994977398</v>
      </c>
    </row>
    <row r="143" customFormat="false" ht="15" hidden="false" customHeight="false" outlineLevel="0" collapsed="false">
      <c r="A143" s="8" t="s">
        <v>1268</v>
      </c>
      <c r="B143" s="8" t="s">
        <v>1292</v>
      </c>
      <c r="C143" s="8" t="s">
        <v>1293</v>
      </c>
      <c r="D143" s="8" t="s">
        <v>24</v>
      </c>
      <c r="E143" s="8" t="n">
        <v>5350</v>
      </c>
      <c r="F143" s="38" t="n">
        <f aca="false">IFERROR(VALUE(SUBSTITUTE(SUBSTITUTE('VALO INDOFLAZZ'!E6,"Rp. ",""),".","")),'VALO INDOFLAZZ'!E6)</f>
        <v>535006</v>
      </c>
      <c r="G143" s="38" t="n">
        <f aca="false">IFERROR(VALUE(SUBSTITUTE(SUBSTITUTE('VALO INDOFLAZZ'!F6,"Rp. ",""),".","")),'VALO INDOFLAZZ'!F6)</f>
        <v>529812</v>
      </c>
      <c r="H143" s="38" t="n">
        <f aca="false">IFERROR(VALUE(SUBSTITUTE(SUBSTITUTE('VALO INDOFLAZZ'!G6,"Rp. ",""),".","")),'VALO INDOFLAZZ'!G6)</f>
        <v>524618</v>
      </c>
      <c r="I143" s="8" t="s">
        <v>2635</v>
      </c>
      <c r="J143" s="38" t="n">
        <f aca="false">'VALO OURA STORE'!A28</f>
        <v>541615</v>
      </c>
      <c r="K143" s="38" t="n">
        <f aca="false">'VALO OURA STORE'!A78</f>
        <v>778137</v>
      </c>
      <c r="L143" s="38" t="n">
        <f aca="false">'VALO OURA STORE'!A90</f>
        <v>746840</v>
      </c>
      <c r="M143" s="8" t="n">
        <f aca="false">COUNT(J143:L143)</f>
        <v>3</v>
      </c>
      <c r="N143" s="40" t="str">
        <f aca="false">IF(M143&gt;0,"Ada","Tidak Ada")</f>
        <v>Ada</v>
      </c>
      <c r="O143" s="41" t="n">
        <f aca="false">IF(M143&gt;0,MIN(J143:L143),"-")</f>
        <v>541615</v>
      </c>
      <c r="P143" s="41" t="n">
        <f aca="false">IF(M143&gt;0,AVERAGE(J143:L143),"-")</f>
        <v>688864</v>
      </c>
      <c r="Q143" s="41" t="n">
        <f aca="false">IF(M143&gt;0,O143-G143,"-")</f>
        <v>11803</v>
      </c>
      <c r="R143" s="42" t="n">
        <f aca="false">IF(M143&gt;0,IFERROR(Q143/O143,"-"),"-")</f>
        <v>0.0217922324898683</v>
      </c>
      <c r="S143" s="41" t="n">
        <f aca="false">IF(M143&gt;0,ROUND(MAX(G143*1.08,O143*0.97)/100,0)*100,ROUND(G143*1.12/100,0)*100)</f>
        <v>572200</v>
      </c>
      <c r="T143" s="42" t="n">
        <f aca="false">IFERROR((S143-G143)/S143,"-")</f>
        <v>0.0740789933589654</v>
      </c>
    </row>
    <row r="144" customFormat="false" ht="15" hidden="false" customHeight="false" outlineLevel="0" collapsed="false">
      <c r="A144" s="8" t="s">
        <v>1268</v>
      </c>
      <c r="B144" s="8" t="s">
        <v>1298</v>
      </c>
      <c r="C144" s="8" t="s">
        <v>1299</v>
      </c>
      <c r="D144" s="8" t="s">
        <v>24</v>
      </c>
      <c r="E144" s="8" t="n">
        <v>11000</v>
      </c>
      <c r="F144" s="38" t="n">
        <f aca="false">IFERROR(VALUE(SUBSTITUTE(SUBSTITUTE('VALO INDOFLAZZ'!E7,"Rp. ",""),".","")),'VALO INDOFLAZZ'!E7)</f>
        <v>1051827</v>
      </c>
      <c r="G144" s="38" t="n">
        <f aca="false">IFERROR(VALUE(SUBSTITUTE(SUBSTITUTE('VALO INDOFLAZZ'!F7,"Rp. ",""),".","")),'VALO INDOFLAZZ'!F7)</f>
        <v>1041615</v>
      </c>
      <c r="H144" s="38" t="n">
        <f aca="false">IFERROR(VALUE(SUBSTITUTE(SUBSTITUTE('VALO INDOFLAZZ'!G7,"Rp. ",""),".","")),'VALO INDOFLAZZ'!G7)</f>
        <v>1031403</v>
      </c>
      <c r="I144" s="8" t="s">
        <v>2635</v>
      </c>
      <c r="J144" s="38" t="n">
        <f aca="false">'VALO OURA STORE'!A48</f>
        <v>1064820</v>
      </c>
      <c r="K144" s="38" t="n">
        <f aca="false">'VALO OURA STORE'!A80</f>
        <v>1559988</v>
      </c>
      <c r="L144" s="38" t="n">
        <f aca="false">'VALO OURA STORE'!A92</f>
        <v>1493679</v>
      </c>
      <c r="M144" s="8" t="n">
        <f aca="false">COUNT(J144:L144)</f>
        <v>3</v>
      </c>
      <c r="N144" s="40" t="str">
        <f aca="false">IF(M144&gt;0,"Ada","Tidak Ada")</f>
        <v>Ada</v>
      </c>
      <c r="O144" s="41" t="n">
        <f aca="false">IF(M144&gt;0,MIN(J144:L144),"-")</f>
        <v>1064820</v>
      </c>
      <c r="P144" s="41" t="n">
        <f aca="false">IF(M144&gt;0,AVERAGE(J144:L144),"-")</f>
        <v>1372829</v>
      </c>
      <c r="Q144" s="41" t="n">
        <f aca="false">IF(M144&gt;0,O144-G144,"-")</f>
        <v>23205</v>
      </c>
      <c r="R144" s="42" t="n">
        <f aca="false">IF(M144&gt;0,IFERROR(Q144/O144,"-"),"-")</f>
        <v>0.0217924156195413</v>
      </c>
      <c r="S144" s="41" t="n">
        <f aca="false">IF(M144&gt;0,ROUND(MAX(G144*1.08,O144*0.97)/100,0)*100,ROUND(G144*1.12/100,0)*100)</f>
        <v>1124900</v>
      </c>
      <c r="T144" s="42" t="n">
        <f aca="false">IFERROR((S144-G144)/S144,"-")</f>
        <v>0.0740376922393102</v>
      </c>
    </row>
    <row r="145" customFormat="false" ht="15" hidden="false" customHeight="false" outlineLevel="0" collapsed="false">
      <c r="A145" s="8" t="s">
        <v>1339</v>
      </c>
      <c r="B145" s="8" t="s">
        <v>1338</v>
      </c>
      <c r="C145" s="8" t="s">
        <v>1340</v>
      </c>
      <c r="D145" s="8" t="s">
        <v>25</v>
      </c>
      <c r="E145" s="8" t="n">
        <v>1200</v>
      </c>
      <c r="F145" s="38" t="n">
        <f aca="false">IFERROR(VALUE(SUBSTITUTE(SUBSTITUTE('Point Blank Indoflaz'!E2,"Rp. ",""),".","")),'Point Blank Indoflaz'!E2)</f>
        <v>9065</v>
      </c>
      <c r="G145" s="38" t="n">
        <f aca="false">IFERROR(VALUE(SUBSTITUTE(SUBSTITUTE('Point Blank Indoflaz'!F2,"Rp. ",""),".","")),'Point Blank Indoflaz'!F2)</f>
        <v>8976</v>
      </c>
      <c r="H145" s="38" t="n">
        <f aca="false">IFERROR(VALUE(SUBSTITUTE(SUBSTITUTE('Point Blank Indoflaz'!G2,"Rp. ",""),".","")),'Point Blank Indoflaz'!G2)</f>
        <v>8932</v>
      </c>
      <c r="I145" s="8" t="s">
        <v>2636</v>
      </c>
      <c r="J145" s="38" t="n">
        <f aca="false">'PointBlank OURA STORE'!A4</f>
        <v>9790</v>
      </c>
      <c r="K145" s="39"/>
      <c r="L145" s="39"/>
      <c r="M145" s="8" t="n">
        <f aca="false">COUNT(J145:L145)</f>
        <v>1</v>
      </c>
      <c r="N145" s="40" t="str">
        <f aca="false">IF(M145&gt;0,"Ada","Tidak Ada")</f>
        <v>Ada</v>
      </c>
      <c r="O145" s="41" t="n">
        <f aca="false">IF(M145&gt;0,MIN(J145:L145),"-")</f>
        <v>9790</v>
      </c>
      <c r="P145" s="41" t="n">
        <f aca="false">IF(M145&gt;0,AVERAGE(J145:L145),"-")</f>
        <v>9790</v>
      </c>
      <c r="Q145" s="41" t="n">
        <f aca="false">IF(M145&gt;0,O145-G145,"-")</f>
        <v>814</v>
      </c>
      <c r="R145" s="42" t="n">
        <f aca="false">IF(M145&gt;0,IFERROR(Q145/O145,"-"),"-")</f>
        <v>0.0831460674157303</v>
      </c>
      <c r="S145" s="41" t="n">
        <f aca="false">IF(M145&gt;0,ROUND(MAX(G145*1.08,O145*0.97)/100,0)*100,ROUND(G145*1.12/100,0)*100)</f>
        <v>9700</v>
      </c>
      <c r="T145" s="42" t="n">
        <f aca="false">IFERROR((S145-G145)/S145,"-")</f>
        <v>0.074639175257732</v>
      </c>
    </row>
    <row r="146" customFormat="false" ht="15" hidden="false" customHeight="false" outlineLevel="0" collapsed="false">
      <c r="A146" s="8" t="s">
        <v>1339</v>
      </c>
      <c r="B146" s="8" t="s">
        <v>1345</v>
      </c>
      <c r="C146" s="8" t="s">
        <v>1346</v>
      </c>
      <c r="D146" s="8" t="s">
        <v>25</v>
      </c>
      <c r="E146" s="8" t="n">
        <v>2400</v>
      </c>
      <c r="F146" s="38" t="n">
        <f aca="false">IFERROR(VALUE(SUBSTITUTE(SUBSTITUTE('Point Blank Indoflaz'!E3,"Rp. ",""),".","")),'Point Blank Indoflaz'!E3)</f>
        <v>18130</v>
      </c>
      <c r="G146" s="38" t="n">
        <f aca="false">IFERROR(VALUE(SUBSTITUTE(SUBSTITUTE('Point Blank Indoflaz'!F3,"Rp. ",""),".","")),'Point Blank Indoflaz'!F3)</f>
        <v>17952</v>
      </c>
      <c r="H146" s="38" t="n">
        <f aca="false">IFERROR(VALUE(SUBSTITUTE(SUBSTITUTE('Point Blank Indoflaz'!G3,"Rp. ",""),".","")),'Point Blank Indoflaz'!G3)</f>
        <v>17863</v>
      </c>
      <c r="I146" s="8" t="s">
        <v>2636</v>
      </c>
      <c r="J146" s="38" t="n">
        <f aca="false">'PointBlank OURA STORE'!A6</f>
        <v>19580</v>
      </c>
      <c r="K146" s="39"/>
      <c r="L146" s="39"/>
      <c r="M146" s="8" t="n">
        <f aca="false">COUNT(J146:L146)</f>
        <v>1</v>
      </c>
      <c r="N146" s="40" t="str">
        <f aca="false">IF(M146&gt;0,"Ada","Tidak Ada")</f>
        <v>Ada</v>
      </c>
      <c r="O146" s="41" t="n">
        <f aca="false">IF(M146&gt;0,MIN(J146:L146),"-")</f>
        <v>19580</v>
      </c>
      <c r="P146" s="41" t="n">
        <f aca="false">IF(M146&gt;0,AVERAGE(J146:L146),"-")</f>
        <v>19580</v>
      </c>
      <c r="Q146" s="41" t="n">
        <f aca="false">IF(M146&gt;0,O146-G146,"-")</f>
        <v>1628</v>
      </c>
      <c r="R146" s="42" t="n">
        <f aca="false">IF(M146&gt;0,IFERROR(Q146/O146,"-"),"-")</f>
        <v>0.0831460674157303</v>
      </c>
      <c r="S146" s="41" t="n">
        <f aca="false">IF(M146&gt;0,ROUND(MAX(G146*1.08,O146*0.97)/100,0)*100,ROUND(G146*1.12/100,0)*100)</f>
        <v>19400</v>
      </c>
      <c r="T146" s="42" t="n">
        <f aca="false">IFERROR((S146-G146)/S146,"-")</f>
        <v>0.074639175257732</v>
      </c>
    </row>
    <row r="147" customFormat="false" ht="15" hidden="false" customHeight="false" outlineLevel="0" collapsed="false">
      <c r="A147" s="8" t="s">
        <v>1339</v>
      </c>
      <c r="B147" s="8" t="s">
        <v>1351</v>
      </c>
      <c r="C147" s="8" t="s">
        <v>1340</v>
      </c>
      <c r="D147" s="8" t="s">
        <v>25</v>
      </c>
      <c r="E147" s="8" t="n">
        <v>1200</v>
      </c>
      <c r="F147" s="38" t="n">
        <f aca="false">IFERROR(VALUE(SUBSTITUTE(SUBSTITUTE('Point Blank Indoflaz'!E4,"Rp. ",""),".","")),'Point Blank Indoflaz'!E4)</f>
        <v>18334</v>
      </c>
      <c r="G147" s="38" t="n">
        <f aca="false">IFERROR(VALUE(SUBSTITUTE(SUBSTITUTE('Point Blank Indoflaz'!F4,"Rp. ",""),".","")),'Point Blank Indoflaz'!F4)</f>
        <v>18156</v>
      </c>
      <c r="H147" s="38" t="n">
        <f aca="false">IFERROR(VALUE(SUBSTITUTE(SUBSTITUTE('Point Blank Indoflaz'!G4,"Rp. ",""),".","")),'Point Blank Indoflaz'!G4)</f>
        <v>17978</v>
      </c>
      <c r="I147" s="8" t="s">
        <v>2636</v>
      </c>
      <c r="J147" s="38" t="n">
        <f aca="false">'PointBlank OURA STORE'!A4</f>
        <v>9790</v>
      </c>
      <c r="K147" s="39"/>
      <c r="L147" s="39"/>
      <c r="M147" s="8" t="n">
        <f aca="false">COUNT(J147:L147)</f>
        <v>1</v>
      </c>
      <c r="N147" s="40" t="str">
        <f aca="false">IF(M147&gt;0,"Ada","Tidak Ada")</f>
        <v>Ada</v>
      </c>
      <c r="O147" s="41" t="n">
        <f aca="false">IF(M147&gt;0,MIN(J147:L147),"-")</f>
        <v>9790</v>
      </c>
      <c r="P147" s="41" t="n">
        <f aca="false">IF(M147&gt;0,AVERAGE(J147:L147),"-")</f>
        <v>9790</v>
      </c>
      <c r="Q147" s="41" t="n">
        <f aca="false">IF(M147&gt;0,O147-G147,"-")</f>
        <v>-8366</v>
      </c>
      <c r="R147" s="42" t="n">
        <f aca="false">IF(M147&gt;0,IFERROR(Q147/O147,"-"),"-")</f>
        <v>-0.854545454545455</v>
      </c>
      <c r="S147" s="41" t="n">
        <f aca="false">IF(M147&gt;0,ROUND(MAX(G147*1.08,O147*0.97)/100,0)*100,ROUND(G147*1.12/100,0)*100)</f>
        <v>19600</v>
      </c>
      <c r="T147" s="42" t="n">
        <f aca="false">IFERROR((S147-G147)/S147,"-")</f>
        <v>0.0736734693877551</v>
      </c>
    </row>
    <row r="148" customFormat="false" ht="15" hidden="false" customHeight="false" outlineLevel="0" collapsed="false">
      <c r="A148" s="8" t="s">
        <v>1339</v>
      </c>
      <c r="B148" s="8" t="s">
        <v>1356</v>
      </c>
      <c r="C148" s="8" t="s">
        <v>1346</v>
      </c>
      <c r="D148" s="8" t="s">
        <v>25</v>
      </c>
      <c r="E148" s="8" t="n">
        <v>2400</v>
      </c>
      <c r="F148" s="38" t="n">
        <f aca="false">IFERROR(VALUE(SUBSTITUTE(SUBSTITUTE('Point Blank Indoflaz'!E5,"Rp. ",""),".","")),'Point Blank Indoflaz'!E5)</f>
        <v>18540</v>
      </c>
      <c r="G148" s="38" t="n">
        <f aca="false">IFERROR(VALUE(SUBSTITUTE(SUBSTITUTE('Point Blank Indoflaz'!F5,"Rp. ",""),".","")),'Point Blank Indoflaz'!F5)</f>
        <v>18360</v>
      </c>
      <c r="H148" s="38" t="n">
        <f aca="false">IFERROR(VALUE(SUBSTITUTE(SUBSTITUTE('Point Blank Indoflaz'!G5,"Rp. ",""),".","")),'Point Blank Indoflaz'!G5)</f>
        <v>18180</v>
      </c>
      <c r="I148" s="8" t="s">
        <v>2636</v>
      </c>
      <c r="J148" s="38" t="n">
        <f aca="false">'PointBlank OURA STORE'!A6</f>
        <v>19580</v>
      </c>
      <c r="K148" s="39"/>
      <c r="L148" s="39"/>
      <c r="M148" s="8" t="n">
        <f aca="false">COUNT(J148:L148)</f>
        <v>1</v>
      </c>
      <c r="N148" s="40" t="str">
        <f aca="false">IF(M148&gt;0,"Ada","Tidak Ada")</f>
        <v>Ada</v>
      </c>
      <c r="O148" s="41" t="n">
        <f aca="false">IF(M148&gt;0,MIN(J148:L148),"-")</f>
        <v>19580</v>
      </c>
      <c r="P148" s="41" t="n">
        <f aca="false">IF(M148&gt;0,AVERAGE(J148:L148),"-")</f>
        <v>19580</v>
      </c>
      <c r="Q148" s="41" t="n">
        <f aca="false">IF(M148&gt;0,O148-G148,"-")</f>
        <v>1220</v>
      </c>
      <c r="R148" s="42" t="n">
        <f aca="false">IF(M148&gt;0,IFERROR(Q148/O148,"-"),"-")</f>
        <v>0.0623084780388151</v>
      </c>
      <c r="S148" s="41" t="n">
        <f aca="false">IF(M148&gt;0,ROUND(MAX(G148*1.08,O148*0.97)/100,0)*100,ROUND(G148*1.12/100,0)*100)</f>
        <v>19800</v>
      </c>
      <c r="T148" s="42" t="n">
        <f aca="false">IFERROR((S148-G148)/S148,"-")</f>
        <v>0.0727272727272727</v>
      </c>
    </row>
    <row r="149" customFormat="false" ht="15" hidden="false" customHeight="false" outlineLevel="0" collapsed="false">
      <c r="A149" s="8" t="s">
        <v>1339</v>
      </c>
      <c r="B149" s="8" t="s">
        <v>1361</v>
      </c>
      <c r="C149" s="8" t="s">
        <v>1362</v>
      </c>
      <c r="D149" s="8" t="s">
        <v>25</v>
      </c>
      <c r="E149" s="8" t="n">
        <v>6000</v>
      </c>
      <c r="F149" s="38" t="n">
        <f aca="false">IFERROR(VALUE(SUBSTITUTE(SUBSTITUTE('Point Blank Indoflaz'!E6,"Rp. ",""),".","")),'Point Blank Indoflaz'!E6)</f>
        <v>45325</v>
      </c>
      <c r="G149" s="38" t="n">
        <f aca="false">IFERROR(VALUE(SUBSTITUTE(SUBSTITUTE('Point Blank Indoflaz'!F6,"Rp. ",""),".","")),'Point Blank Indoflaz'!F6)</f>
        <v>44881</v>
      </c>
      <c r="H149" s="38" t="n">
        <f aca="false">IFERROR(VALUE(SUBSTITUTE(SUBSTITUTE('Point Blank Indoflaz'!G6,"Rp. ",""),".","")),'Point Blank Indoflaz'!G6)</f>
        <v>44659</v>
      </c>
      <c r="I149" s="8" t="s">
        <v>2636</v>
      </c>
      <c r="J149" s="38" t="n">
        <f aca="false">'PointBlank OURA STORE'!A8</f>
        <v>48950</v>
      </c>
      <c r="K149" s="39"/>
      <c r="L149" s="39"/>
      <c r="M149" s="8" t="n">
        <f aca="false">COUNT(J149:L149)</f>
        <v>1</v>
      </c>
      <c r="N149" s="40" t="str">
        <f aca="false">IF(M149&gt;0,"Ada","Tidak Ada")</f>
        <v>Ada</v>
      </c>
      <c r="O149" s="41" t="n">
        <f aca="false">IF(M149&gt;0,MIN(J149:L149),"-")</f>
        <v>48950</v>
      </c>
      <c r="P149" s="41" t="n">
        <f aca="false">IF(M149&gt;0,AVERAGE(J149:L149),"-")</f>
        <v>48950</v>
      </c>
      <c r="Q149" s="41" t="n">
        <f aca="false">IF(M149&gt;0,O149-G149,"-")</f>
        <v>4069</v>
      </c>
      <c r="R149" s="42" t="n">
        <f aca="false">IF(M149&gt;0,IFERROR(Q149/O149,"-"),"-")</f>
        <v>0.0831256384065373</v>
      </c>
      <c r="S149" s="41" t="n">
        <f aca="false">IF(M149&gt;0,ROUND(MAX(G149*1.08,O149*0.97)/100,0)*100,ROUND(G149*1.12/100,0)*100)</f>
        <v>48500</v>
      </c>
      <c r="T149" s="42" t="n">
        <f aca="false">IFERROR((S149-G149)/S149,"-")</f>
        <v>0.0746185567010309</v>
      </c>
    </row>
    <row r="150" customFormat="false" ht="15" hidden="false" customHeight="false" outlineLevel="0" collapsed="false">
      <c r="A150" s="8" t="s">
        <v>1339</v>
      </c>
      <c r="B150" s="8" t="s">
        <v>1367</v>
      </c>
      <c r="C150" s="8" t="s">
        <v>1362</v>
      </c>
      <c r="D150" s="8" t="s">
        <v>25</v>
      </c>
      <c r="E150" s="8" t="n">
        <v>6000</v>
      </c>
      <c r="F150" s="38" t="n">
        <f aca="false">IFERROR(VALUE(SUBSTITUTE(SUBSTITUTE('Point Blank Indoflaz'!E7,"Rp. ",""),".","")),'Point Blank Indoflaz'!E7)</f>
        <v>45835</v>
      </c>
      <c r="G150" s="38" t="n">
        <f aca="false">IFERROR(VALUE(SUBSTITUTE(SUBSTITUTE('Point Blank Indoflaz'!F7,"Rp. ",""),".","")),'Point Blank Indoflaz'!F7)</f>
        <v>45390</v>
      </c>
      <c r="H150" s="38" t="n">
        <f aca="false">IFERROR(VALUE(SUBSTITUTE(SUBSTITUTE('Point Blank Indoflaz'!G7,"Rp. ",""),".","")),'Point Blank Indoflaz'!G7)</f>
        <v>44945</v>
      </c>
      <c r="I150" s="8" t="s">
        <v>2636</v>
      </c>
      <c r="J150" s="38" t="n">
        <f aca="false">'PointBlank OURA STORE'!A8</f>
        <v>48950</v>
      </c>
      <c r="K150" s="39"/>
      <c r="L150" s="39"/>
      <c r="M150" s="8" t="n">
        <f aca="false">COUNT(J150:L150)</f>
        <v>1</v>
      </c>
      <c r="N150" s="40" t="str">
        <f aca="false">IF(M150&gt;0,"Ada","Tidak Ada")</f>
        <v>Ada</v>
      </c>
      <c r="O150" s="41" t="n">
        <f aca="false">IF(M150&gt;0,MIN(J150:L150),"-")</f>
        <v>48950</v>
      </c>
      <c r="P150" s="41" t="n">
        <f aca="false">IF(M150&gt;0,AVERAGE(J150:L150),"-")</f>
        <v>48950</v>
      </c>
      <c r="Q150" s="41" t="n">
        <f aca="false">IF(M150&gt;0,O150-G150,"-")</f>
        <v>3560</v>
      </c>
      <c r="R150" s="42" t="n">
        <f aca="false">IF(M150&gt;0,IFERROR(Q150/O150,"-"),"-")</f>
        <v>0.0727272727272727</v>
      </c>
      <c r="S150" s="41" t="n">
        <f aca="false">IF(M150&gt;0,ROUND(MAX(G150*1.08,O150*0.97)/100,0)*100,ROUND(G150*1.12/100,0)*100)</f>
        <v>49000</v>
      </c>
      <c r="T150" s="42" t="n">
        <f aca="false">IFERROR((S150-G150)/S150,"-")</f>
        <v>0.0736734693877551</v>
      </c>
    </row>
    <row r="151" customFormat="false" ht="15" hidden="false" customHeight="false" outlineLevel="0" collapsed="false">
      <c r="A151" s="8" t="s">
        <v>1339</v>
      </c>
      <c r="B151" s="8" t="s">
        <v>1372</v>
      </c>
      <c r="C151" s="8" t="s">
        <v>1373</v>
      </c>
      <c r="D151" s="8" t="s">
        <v>25</v>
      </c>
      <c r="E151" s="8" t="n">
        <v>12000</v>
      </c>
      <c r="F151" s="38" t="n">
        <f aca="false">IFERROR(VALUE(SUBSTITUTE(SUBSTITUTE('Point Blank Indoflaz'!E8,"Rp. ",""),".","")),'Point Blank Indoflaz'!E8)</f>
        <v>90649</v>
      </c>
      <c r="G151" s="38" t="n">
        <f aca="false">IFERROR(VALUE(SUBSTITUTE(SUBSTITUTE('Point Blank Indoflaz'!F8,"Rp. ",""),".","")),'Point Blank Indoflaz'!F8)</f>
        <v>89760</v>
      </c>
      <c r="H151" s="38" t="n">
        <f aca="false">IFERROR(VALUE(SUBSTITUTE(SUBSTITUTE('Point Blank Indoflaz'!G8,"Rp. ",""),".","")),'Point Blank Indoflaz'!G8)</f>
        <v>89316</v>
      </c>
      <c r="I151" s="8" t="s">
        <v>2636</v>
      </c>
      <c r="J151" s="38" t="n">
        <f aca="false">'PointBlank OURA STORE'!A10</f>
        <v>97900</v>
      </c>
      <c r="K151" s="39"/>
      <c r="L151" s="39"/>
      <c r="M151" s="8" t="n">
        <f aca="false">COUNT(J151:L151)</f>
        <v>1</v>
      </c>
      <c r="N151" s="40" t="str">
        <f aca="false">IF(M151&gt;0,"Ada","Tidak Ada")</f>
        <v>Ada</v>
      </c>
      <c r="O151" s="41" t="n">
        <f aca="false">IF(M151&gt;0,MIN(J151:L151),"-")</f>
        <v>97900</v>
      </c>
      <c r="P151" s="41" t="n">
        <f aca="false">IF(M151&gt;0,AVERAGE(J151:L151),"-")</f>
        <v>97900</v>
      </c>
      <c r="Q151" s="41" t="n">
        <f aca="false">IF(M151&gt;0,O151-G151,"-")</f>
        <v>8140</v>
      </c>
      <c r="R151" s="42" t="n">
        <f aca="false">IF(M151&gt;0,IFERROR(Q151/O151,"-"),"-")</f>
        <v>0.0831460674157303</v>
      </c>
      <c r="S151" s="41" t="n">
        <f aca="false">IF(M151&gt;0,ROUND(MAX(G151*1.08,O151*0.97)/100,0)*100,ROUND(G151*1.12/100,0)*100)</f>
        <v>96900</v>
      </c>
      <c r="T151" s="42" t="n">
        <f aca="false">IFERROR((S151-G151)/S151,"-")</f>
        <v>0.0736842105263158</v>
      </c>
    </row>
    <row r="152" customFormat="false" ht="15" hidden="false" customHeight="false" outlineLevel="0" collapsed="false">
      <c r="A152" s="8" t="s">
        <v>1339</v>
      </c>
      <c r="B152" s="8" t="s">
        <v>1378</v>
      </c>
      <c r="C152" s="8" t="s">
        <v>1373</v>
      </c>
      <c r="D152" s="8" t="s">
        <v>25</v>
      </c>
      <c r="E152" s="8" t="n">
        <v>12000</v>
      </c>
      <c r="F152" s="38" t="n">
        <f aca="false">IFERROR(VALUE(SUBSTITUTE(SUBSTITUTE('Point Blank Indoflaz'!E9,"Rp. ",""),".","")),'Point Blank Indoflaz'!E9)</f>
        <v>91670</v>
      </c>
      <c r="G152" s="38" t="n">
        <f aca="false">IFERROR(VALUE(SUBSTITUTE(SUBSTITUTE('Point Blank Indoflaz'!F9,"Rp. ",""),".","")),'Point Blank Indoflaz'!F9)</f>
        <v>90780</v>
      </c>
      <c r="H152" s="38" t="n">
        <f aca="false">IFERROR(VALUE(SUBSTITUTE(SUBSTITUTE('Point Blank Indoflaz'!G9,"Rp. ",""),".","")),'Point Blank Indoflaz'!G9)</f>
        <v>89890</v>
      </c>
      <c r="I152" s="8" t="s">
        <v>2636</v>
      </c>
      <c r="J152" s="38" t="n">
        <f aca="false">'PointBlank OURA STORE'!A10</f>
        <v>97900</v>
      </c>
      <c r="K152" s="39"/>
      <c r="L152" s="39"/>
      <c r="M152" s="8" t="n">
        <f aca="false">COUNT(J152:L152)</f>
        <v>1</v>
      </c>
      <c r="N152" s="40" t="str">
        <f aca="false">IF(M152&gt;0,"Ada","Tidak Ada")</f>
        <v>Ada</v>
      </c>
      <c r="O152" s="41" t="n">
        <f aca="false">IF(M152&gt;0,MIN(J152:L152),"-")</f>
        <v>97900</v>
      </c>
      <c r="P152" s="41" t="n">
        <f aca="false">IF(M152&gt;0,AVERAGE(J152:L152),"-")</f>
        <v>97900</v>
      </c>
      <c r="Q152" s="41" t="n">
        <f aca="false">IF(M152&gt;0,O152-G152,"-")</f>
        <v>7120</v>
      </c>
      <c r="R152" s="42" t="n">
        <f aca="false">IF(M152&gt;0,IFERROR(Q152/O152,"-"),"-")</f>
        <v>0.0727272727272727</v>
      </c>
      <c r="S152" s="41" t="n">
        <f aca="false">IF(M152&gt;0,ROUND(MAX(G152*1.08,O152*0.97)/100,0)*100,ROUND(G152*1.12/100,0)*100)</f>
        <v>98000</v>
      </c>
      <c r="T152" s="42" t="n">
        <f aca="false">IFERROR((S152-G152)/S152,"-")</f>
        <v>0.0736734693877551</v>
      </c>
    </row>
    <row r="153" customFormat="false" ht="15" hidden="false" customHeight="false" outlineLevel="0" collapsed="false">
      <c r="A153" s="8" t="s">
        <v>1339</v>
      </c>
      <c r="B153" s="8" t="s">
        <v>1383</v>
      </c>
      <c r="C153" s="8" t="s">
        <v>1384</v>
      </c>
      <c r="D153" s="8" t="s">
        <v>25</v>
      </c>
      <c r="E153" s="8" t="n">
        <v>24000</v>
      </c>
      <c r="F153" s="38" t="n">
        <f aca="false">IFERROR(VALUE(SUBSTITUTE(SUBSTITUTE('Point Blank Indoflaz'!E10,"Rp. ",""),".","")),'Point Blank Indoflaz'!E10)</f>
        <v>181297</v>
      </c>
      <c r="G153" s="38" t="n">
        <f aca="false">IFERROR(VALUE(SUBSTITUTE(SUBSTITUTE('Point Blank Indoflaz'!F10,"Rp. ",""),".","")),'Point Blank Indoflaz'!F10)</f>
        <v>179520</v>
      </c>
      <c r="H153" s="38" t="n">
        <f aca="false">IFERROR(VALUE(SUBSTITUTE(SUBSTITUTE('Point Blank Indoflaz'!G10,"Rp. ",""),".","")),'Point Blank Indoflaz'!G10)</f>
        <v>178631</v>
      </c>
      <c r="I153" s="8" t="s">
        <v>2636</v>
      </c>
      <c r="J153" s="38" t="n">
        <f aca="false">'PointBlank OURA STORE'!A12</f>
        <v>195800</v>
      </c>
      <c r="K153" s="39"/>
      <c r="L153" s="39"/>
      <c r="M153" s="8" t="n">
        <f aca="false">COUNT(J153:L153)</f>
        <v>1</v>
      </c>
      <c r="N153" s="40" t="str">
        <f aca="false">IF(M153&gt;0,"Ada","Tidak Ada")</f>
        <v>Ada</v>
      </c>
      <c r="O153" s="41" t="n">
        <f aca="false">IF(M153&gt;0,MIN(J153:L153),"-")</f>
        <v>195800</v>
      </c>
      <c r="P153" s="41" t="n">
        <f aca="false">IF(M153&gt;0,AVERAGE(J153:L153),"-")</f>
        <v>195800</v>
      </c>
      <c r="Q153" s="41" t="n">
        <f aca="false">IF(M153&gt;0,O153-G153,"-")</f>
        <v>16280</v>
      </c>
      <c r="R153" s="42" t="n">
        <f aca="false">IF(M153&gt;0,IFERROR(Q153/O153,"-"),"-")</f>
        <v>0.0831460674157303</v>
      </c>
      <c r="S153" s="41" t="n">
        <f aca="false">IF(M153&gt;0,ROUND(MAX(G153*1.08,O153*0.97)/100,0)*100,ROUND(G153*1.12/100,0)*100)</f>
        <v>193900</v>
      </c>
      <c r="T153" s="42" t="n">
        <f aca="false">IFERROR((S153-G153)/S153,"-")</f>
        <v>0.0741619391438886</v>
      </c>
    </row>
    <row r="154" customFormat="false" ht="15" hidden="false" customHeight="false" outlineLevel="0" collapsed="false">
      <c r="A154" s="8" t="s">
        <v>1339</v>
      </c>
      <c r="B154" s="8" t="s">
        <v>1389</v>
      </c>
      <c r="C154" s="8" t="s">
        <v>1384</v>
      </c>
      <c r="D154" s="8" t="s">
        <v>25</v>
      </c>
      <c r="E154" s="8" t="n">
        <v>24000</v>
      </c>
      <c r="F154" s="38" t="n">
        <f aca="false">IFERROR(VALUE(SUBSTITUTE(SUBSTITUTE('Point Blank Indoflaz'!E11,"Rp. ",""),".","")),'Point Blank Indoflaz'!E11)</f>
        <v>182619</v>
      </c>
      <c r="G154" s="38" t="n">
        <f aca="false">IFERROR(VALUE(SUBSTITUTE(SUBSTITUTE('Point Blank Indoflaz'!F11,"Rp. ",""),".","")),'Point Blank Indoflaz'!F11)</f>
        <v>180846</v>
      </c>
      <c r="H154" s="38" t="n">
        <f aca="false">IFERROR(VALUE(SUBSTITUTE(SUBSTITUTE('Point Blank Indoflaz'!G11,"Rp. ",""),".","")),'Point Blank Indoflaz'!G11)</f>
        <v>179073</v>
      </c>
      <c r="I154" s="8" t="s">
        <v>2636</v>
      </c>
      <c r="J154" s="38" t="n">
        <f aca="false">'PointBlank OURA STORE'!A12</f>
        <v>195800</v>
      </c>
      <c r="K154" s="39"/>
      <c r="L154" s="39"/>
      <c r="M154" s="8" t="n">
        <f aca="false">COUNT(J154:L154)</f>
        <v>1</v>
      </c>
      <c r="N154" s="40" t="str">
        <f aca="false">IF(M154&gt;0,"Ada","Tidak Ada")</f>
        <v>Ada</v>
      </c>
      <c r="O154" s="41" t="n">
        <f aca="false">IF(M154&gt;0,MIN(J154:L154),"-")</f>
        <v>195800</v>
      </c>
      <c r="P154" s="41" t="n">
        <f aca="false">IF(M154&gt;0,AVERAGE(J154:L154),"-")</f>
        <v>195800</v>
      </c>
      <c r="Q154" s="41" t="n">
        <f aca="false">IF(M154&gt;0,O154-G154,"-")</f>
        <v>14954</v>
      </c>
      <c r="R154" s="42" t="n">
        <f aca="false">IF(M154&gt;0,IFERROR(Q154/O154,"-"),"-")</f>
        <v>0.0763738508682329</v>
      </c>
      <c r="S154" s="41" t="n">
        <f aca="false">IF(M154&gt;0,ROUND(MAX(G154*1.08,O154*0.97)/100,0)*100,ROUND(G154*1.12/100,0)*100)</f>
        <v>195300</v>
      </c>
      <c r="T154" s="42" t="n">
        <f aca="false">IFERROR((S154-G154)/S154,"-")</f>
        <v>0.0740092165898618</v>
      </c>
    </row>
    <row r="155" customFormat="false" ht="15" hidden="false" customHeight="false" outlineLevel="0" collapsed="false">
      <c r="A155" s="8" t="s">
        <v>1339</v>
      </c>
      <c r="B155" s="8" t="s">
        <v>1394</v>
      </c>
      <c r="C155" s="8" t="s">
        <v>1395</v>
      </c>
      <c r="D155" s="8" t="s">
        <v>25</v>
      </c>
      <c r="E155" s="8" t="n">
        <v>36000</v>
      </c>
      <c r="F155" s="38" t="n">
        <f aca="false">IFERROR(VALUE(SUBSTITUTE(SUBSTITUTE('Point Blank Indoflaz'!E12,"Rp. ",""),".","")),'Point Blank Indoflaz'!E12)</f>
        <v>271947</v>
      </c>
      <c r="G155" s="38" t="n">
        <f aca="false">IFERROR(VALUE(SUBSTITUTE(SUBSTITUTE('Point Blank Indoflaz'!F12,"Rp. ",""),".","")),'Point Blank Indoflaz'!F12)</f>
        <v>269281</v>
      </c>
      <c r="H155" s="38" t="n">
        <f aca="false">IFERROR(VALUE(SUBSTITUTE(SUBSTITUTE('Point Blank Indoflaz'!G12,"Rp. ",""),".","")),'Point Blank Indoflaz'!G12)</f>
        <v>267948</v>
      </c>
      <c r="I155" s="8" t="s">
        <v>2636</v>
      </c>
      <c r="J155" s="38" t="n">
        <f aca="false">'PointBlank OURA STORE'!A14</f>
        <v>293700</v>
      </c>
      <c r="K155" s="39"/>
      <c r="L155" s="39"/>
      <c r="M155" s="8" t="n">
        <f aca="false">COUNT(J155:L155)</f>
        <v>1</v>
      </c>
      <c r="N155" s="40" t="str">
        <f aca="false">IF(M155&gt;0,"Ada","Tidak Ada")</f>
        <v>Ada</v>
      </c>
      <c r="O155" s="41" t="n">
        <f aca="false">IF(M155&gt;0,MIN(J155:L155),"-")</f>
        <v>293700</v>
      </c>
      <c r="P155" s="41" t="n">
        <f aca="false">IF(M155&gt;0,AVERAGE(J155:L155),"-")</f>
        <v>293700</v>
      </c>
      <c r="Q155" s="41" t="n">
        <f aca="false">IF(M155&gt;0,O155-G155,"-")</f>
        <v>24419</v>
      </c>
      <c r="R155" s="42" t="n">
        <f aca="false">IF(M155&gt;0,IFERROR(Q155/O155,"-"),"-")</f>
        <v>0.0831426625808648</v>
      </c>
      <c r="S155" s="41" t="n">
        <f aca="false">IF(M155&gt;0,ROUND(MAX(G155*1.08,O155*0.97)/100,0)*100,ROUND(G155*1.12/100,0)*100)</f>
        <v>290800</v>
      </c>
      <c r="T155" s="42" t="n">
        <f aca="false">IFERROR((S155-G155)/S155,"-")</f>
        <v>0.0739993122420908</v>
      </c>
    </row>
    <row r="156" customFormat="false" ht="15" hidden="false" customHeight="false" outlineLevel="0" collapsed="false">
      <c r="A156" s="8" t="s">
        <v>1339</v>
      </c>
      <c r="B156" s="8" t="s">
        <v>1400</v>
      </c>
      <c r="C156" s="8" t="s">
        <v>1395</v>
      </c>
      <c r="D156" s="8" t="s">
        <v>25</v>
      </c>
      <c r="E156" s="8" t="n">
        <v>36000</v>
      </c>
      <c r="F156" s="38" t="n">
        <f aca="false">IFERROR(VALUE(SUBSTITUTE(SUBSTITUTE('Point Blank Indoflaz'!E13,"Rp. ",""),".","")),'Point Blank Indoflaz'!E13)</f>
        <v>275010</v>
      </c>
      <c r="G156" s="38" t="n">
        <f aca="false">IFERROR(VALUE(SUBSTITUTE(SUBSTITUTE('Point Blank Indoflaz'!F13,"Rp. ",""),".","")),'Point Blank Indoflaz'!F13)</f>
        <v>272340</v>
      </c>
      <c r="H156" s="38" t="n">
        <f aca="false">IFERROR(VALUE(SUBSTITUTE(SUBSTITUTE('Point Blank Indoflaz'!G13,"Rp. ",""),".","")),'Point Blank Indoflaz'!G13)</f>
        <v>269670</v>
      </c>
      <c r="I156" s="8" t="s">
        <v>2636</v>
      </c>
      <c r="J156" s="38" t="n">
        <f aca="false">'PointBlank OURA STORE'!A14</f>
        <v>293700</v>
      </c>
      <c r="K156" s="39"/>
      <c r="L156" s="39"/>
      <c r="M156" s="8" t="n">
        <f aca="false">COUNT(J156:L156)</f>
        <v>1</v>
      </c>
      <c r="N156" s="40" t="str">
        <f aca="false">IF(M156&gt;0,"Ada","Tidak Ada")</f>
        <v>Ada</v>
      </c>
      <c r="O156" s="41" t="n">
        <f aca="false">IF(M156&gt;0,MIN(J156:L156),"-")</f>
        <v>293700</v>
      </c>
      <c r="P156" s="41" t="n">
        <f aca="false">IF(M156&gt;0,AVERAGE(J156:L156),"-")</f>
        <v>293700</v>
      </c>
      <c r="Q156" s="41" t="n">
        <f aca="false">IF(M156&gt;0,O156-G156,"-")</f>
        <v>21360</v>
      </c>
      <c r="R156" s="42" t="n">
        <f aca="false">IF(M156&gt;0,IFERROR(Q156/O156,"-"),"-")</f>
        <v>0.0727272727272727</v>
      </c>
      <c r="S156" s="41" t="n">
        <f aca="false">IF(M156&gt;0,ROUND(MAX(G156*1.08,O156*0.97)/100,0)*100,ROUND(G156*1.12/100,0)*100)</f>
        <v>294100</v>
      </c>
      <c r="T156" s="42" t="n">
        <f aca="false">IFERROR((S156-G156)/S156,"-")</f>
        <v>0.0739884393063584</v>
      </c>
    </row>
    <row r="157" customFormat="false" ht="15" hidden="false" customHeight="false" outlineLevel="0" collapsed="false">
      <c r="A157" s="8" t="s">
        <v>1339</v>
      </c>
      <c r="B157" s="8" t="s">
        <v>1405</v>
      </c>
      <c r="C157" s="8" t="s">
        <v>1406</v>
      </c>
      <c r="D157" s="8" t="s">
        <v>25</v>
      </c>
      <c r="E157" s="8" t="n">
        <v>60000</v>
      </c>
      <c r="F157" s="38" t="n">
        <f aca="false">IFERROR(VALUE(SUBSTITUTE(SUBSTITUTE('Point Blank Indoflaz'!E14,"Rp. ",""),".","")),'Point Blank Indoflaz'!E14)</f>
        <v>453244</v>
      </c>
      <c r="G157" s="38" t="n">
        <f aca="false">IFERROR(VALUE(SUBSTITUTE(SUBSTITUTE('Point Blank Indoflaz'!F14,"Rp. ",""),".","")),'Point Blank Indoflaz'!F14)</f>
        <v>448800</v>
      </c>
      <c r="H157" s="38" t="n">
        <f aca="false">IFERROR(VALUE(SUBSTITUTE(SUBSTITUTE('Point Blank Indoflaz'!G14,"Rp. ",""),".","")),'Point Blank Indoflaz'!G14)</f>
        <v>446578</v>
      </c>
      <c r="I157" s="8" t="s">
        <v>2636</v>
      </c>
      <c r="J157" s="38" t="n">
        <f aca="false">'PointBlank OURA STORE'!A16</f>
        <v>489500</v>
      </c>
      <c r="K157" s="39"/>
      <c r="L157" s="39"/>
      <c r="M157" s="8" t="n">
        <f aca="false">COUNT(J157:L157)</f>
        <v>1</v>
      </c>
      <c r="N157" s="40" t="str">
        <f aca="false">IF(M157&gt;0,"Ada","Tidak Ada")</f>
        <v>Ada</v>
      </c>
      <c r="O157" s="41" t="n">
        <f aca="false">IF(M157&gt;0,MIN(J157:L157),"-")</f>
        <v>489500</v>
      </c>
      <c r="P157" s="41" t="n">
        <f aca="false">IF(M157&gt;0,AVERAGE(J157:L157),"-")</f>
        <v>489500</v>
      </c>
      <c r="Q157" s="41" t="n">
        <f aca="false">IF(M157&gt;0,O157-G157,"-")</f>
        <v>40700</v>
      </c>
      <c r="R157" s="42" t="n">
        <f aca="false">IF(M157&gt;0,IFERROR(Q157/O157,"-"),"-")</f>
        <v>0.0831460674157303</v>
      </c>
      <c r="S157" s="41" t="n">
        <f aca="false">IF(M157&gt;0,ROUND(MAX(G157*1.08,O157*0.97)/100,0)*100,ROUND(G157*1.12/100,0)*100)</f>
        <v>484700</v>
      </c>
      <c r="T157" s="42" t="n">
        <f aca="false">IFERROR((S157-G157)/S157,"-")</f>
        <v>0.0740664328450588</v>
      </c>
    </row>
    <row r="158" customFormat="false" ht="15" hidden="false" customHeight="false" outlineLevel="0" collapsed="false">
      <c r="A158" s="8" t="s">
        <v>1339</v>
      </c>
      <c r="B158" s="8" t="s">
        <v>1411</v>
      </c>
      <c r="C158" s="8" t="s">
        <v>1406</v>
      </c>
      <c r="D158" s="8" t="s">
        <v>25</v>
      </c>
      <c r="E158" s="8" t="n">
        <v>60000</v>
      </c>
      <c r="F158" s="38" t="n">
        <f aca="false">IFERROR(VALUE(SUBSTITUTE(SUBSTITUTE('Point Blank Indoflaz'!E15,"Rp. ",""),".","")),'Point Blank Indoflaz'!E15)</f>
        <v>456393</v>
      </c>
      <c r="G158" s="38" t="n">
        <f aca="false">IFERROR(VALUE(SUBSTITUTE(SUBSTITUTE('Point Blank Indoflaz'!F15,"Rp. ",""),".","")),'Point Blank Indoflaz'!F15)</f>
        <v>451962</v>
      </c>
      <c r="H158" s="38" t="n">
        <f aca="false">IFERROR(VALUE(SUBSTITUTE(SUBSTITUTE('Point Blank Indoflaz'!G15,"Rp. ",""),".","")),'Point Blank Indoflaz'!G15)</f>
        <v>447531</v>
      </c>
      <c r="I158" s="8" t="s">
        <v>2636</v>
      </c>
      <c r="J158" s="38" t="n">
        <f aca="false">'PointBlank OURA STORE'!A16</f>
        <v>489500</v>
      </c>
      <c r="K158" s="39"/>
      <c r="L158" s="39"/>
      <c r="M158" s="8" t="n">
        <f aca="false">COUNT(J158:L158)</f>
        <v>1</v>
      </c>
      <c r="N158" s="40" t="str">
        <f aca="false">IF(M158&gt;0,"Ada","Tidak Ada")</f>
        <v>Ada</v>
      </c>
      <c r="O158" s="41" t="n">
        <f aca="false">IF(M158&gt;0,MIN(J158:L158),"-")</f>
        <v>489500</v>
      </c>
      <c r="P158" s="41" t="n">
        <f aca="false">IF(M158&gt;0,AVERAGE(J158:L158),"-")</f>
        <v>489500</v>
      </c>
      <c r="Q158" s="41" t="n">
        <f aca="false">IF(M158&gt;0,O158-G158,"-")</f>
        <v>37538</v>
      </c>
      <c r="R158" s="42" t="n">
        <f aca="false">IF(M158&gt;0,IFERROR(Q158/O158,"-"),"-")</f>
        <v>0.0766864147088866</v>
      </c>
      <c r="S158" s="41" t="n">
        <f aca="false">IF(M158&gt;0,ROUND(MAX(G158*1.08,O158*0.97)/100,0)*100,ROUND(G158*1.12/100,0)*100)</f>
        <v>488100</v>
      </c>
      <c r="T158" s="42" t="n">
        <f aca="false">IFERROR((S158-G158)/S158,"-")</f>
        <v>0.0740381069452981</v>
      </c>
    </row>
    <row r="159" customFormat="false" ht="15" hidden="false" customHeight="false" outlineLevel="0" collapsed="false">
      <c r="A159" s="8" t="s">
        <v>1425</v>
      </c>
      <c r="B159" s="8" t="s">
        <v>1424</v>
      </c>
      <c r="C159" s="8" t="s">
        <v>1426</v>
      </c>
      <c r="D159" s="8" t="s">
        <v>26</v>
      </c>
      <c r="E159" s="8" t="n">
        <v>45000</v>
      </c>
      <c r="F159" s="38" t="n">
        <f aca="false">IFERROR(VALUE(SUBSTITUTE(SUBSTITUTE('VALO VOUCHER INDOFLAZ'!E2,"Rp. ",""),".","")),'VALO VOUCHER INDOFLAZ'!E2)</f>
        <v>43041</v>
      </c>
      <c r="G159" s="38" t="n">
        <f aca="false">IFERROR(VALUE(SUBSTITUTE(SUBSTITUTE('VALO VOUCHER INDOFLAZ'!F2,"Rp. ",""),".","")),'VALO VOUCHER INDOFLAZ'!F2)</f>
        <v>42541</v>
      </c>
      <c r="H159" s="38" t="n">
        <f aca="false">IFERROR(VALUE(SUBSTITUTE(SUBSTITUTE('VALO VOUCHER INDOFLAZ'!G2,"Rp. ",""),".","")),'VALO VOUCHER INDOFLAZ'!G2)</f>
        <v>42166</v>
      </c>
      <c r="I159" s="8" t="s">
        <v>2625</v>
      </c>
      <c r="J159" s="39"/>
      <c r="K159" s="39"/>
      <c r="L159" s="39"/>
      <c r="M159" s="8" t="n">
        <f aca="false">COUNT(J159:L159)</f>
        <v>0</v>
      </c>
      <c r="N159" s="40" t="str">
        <f aca="false">IF(M159&gt;0,"Ada","Tidak Ada")</f>
        <v>Tidak Ada</v>
      </c>
      <c r="O159" s="41" t="str">
        <f aca="false">IF(M159&gt;0,MIN(J159:L159),"-")</f>
        <v>-</v>
      </c>
      <c r="P159" s="41" t="str">
        <f aca="false">IF(M159&gt;0,AVERAGE(J159:L159),"-")</f>
        <v>-</v>
      </c>
      <c r="Q159" s="41" t="str">
        <f aca="false">IF(M159&gt;0,O159-G159,"-")</f>
        <v>-</v>
      </c>
      <c r="R159" s="42" t="str">
        <f aca="false">IF(M159&gt;0,IFERROR(Q159/O159,"-"),"-")</f>
        <v>-</v>
      </c>
      <c r="S159" s="41" t="n">
        <f aca="false">IF(M159&gt;0,ROUND(MAX(G159*1.08,O159*0.97)/100,0)*100,ROUND(G159*1.12/100,0)*100)</f>
        <v>47600</v>
      </c>
      <c r="T159" s="42" t="n">
        <f aca="false">IFERROR((S159-G159)/S159,"-")</f>
        <v>0.106281512605042</v>
      </c>
    </row>
    <row r="160" customFormat="false" ht="15" hidden="false" customHeight="false" outlineLevel="0" collapsed="false">
      <c r="A160" s="8" t="s">
        <v>1425</v>
      </c>
      <c r="B160" s="8" t="s">
        <v>1431</v>
      </c>
      <c r="C160" s="8" t="s">
        <v>1432</v>
      </c>
      <c r="D160" s="8" t="s">
        <v>26</v>
      </c>
      <c r="E160" s="8" t="n">
        <v>75000</v>
      </c>
      <c r="F160" s="38" t="n">
        <f aca="false">IFERROR(VALUE(SUBSTITUTE(SUBSTITUTE('VALO VOUCHER INDOFLAZ'!E3,"Rp. ",""),".","")),'VALO VOUCHER INDOFLAZ'!E3)</f>
        <v>71069</v>
      </c>
      <c r="G160" s="38" t="n">
        <f aca="false">IFERROR(VALUE(SUBSTITUTE(SUBSTITUTE('VALO VOUCHER INDOFLAZ'!F3,"Rp. ",""),".","")),'VALO VOUCHER INDOFLAZ'!F3)</f>
        <v>70569</v>
      </c>
      <c r="H160" s="38" t="n">
        <f aca="false">IFERROR(VALUE(SUBSTITUTE(SUBSTITUTE('VALO VOUCHER INDOFLAZ'!G3,"Rp. ",""),".","")),'VALO VOUCHER INDOFLAZ'!G3)</f>
        <v>70194</v>
      </c>
      <c r="I160" s="8" t="s">
        <v>2625</v>
      </c>
      <c r="J160" s="39"/>
      <c r="K160" s="39"/>
      <c r="L160" s="39"/>
      <c r="M160" s="8" t="n">
        <f aca="false">COUNT(J160:L160)</f>
        <v>0</v>
      </c>
      <c r="N160" s="40" t="str">
        <f aca="false">IF(M160&gt;0,"Ada","Tidak Ada")</f>
        <v>Tidak Ada</v>
      </c>
      <c r="O160" s="41" t="str">
        <f aca="false">IF(M160&gt;0,MIN(J160:L160),"-")</f>
        <v>-</v>
      </c>
      <c r="P160" s="41" t="str">
        <f aca="false">IF(M160&gt;0,AVERAGE(J160:L160),"-")</f>
        <v>-</v>
      </c>
      <c r="Q160" s="41" t="str">
        <f aca="false">IF(M160&gt;0,O160-G160,"-")</f>
        <v>-</v>
      </c>
      <c r="R160" s="42" t="str">
        <f aca="false">IF(M160&gt;0,IFERROR(Q160/O160,"-"),"-")</f>
        <v>-</v>
      </c>
      <c r="S160" s="41" t="n">
        <f aca="false">IF(M160&gt;0,ROUND(MAX(G160*1.08,O160*0.97)/100,0)*100,ROUND(G160*1.12/100,0)*100)</f>
        <v>79000</v>
      </c>
      <c r="T160" s="42" t="n">
        <f aca="false">IFERROR((S160-G160)/S160,"-")</f>
        <v>0.106721518987342</v>
      </c>
    </row>
    <row r="161" customFormat="false" ht="15" hidden="false" customHeight="false" outlineLevel="0" collapsed="false">
      <c r="A161" s="8" t="s">
        <v>1425</v>
      </c>
      <c r="B161" s="8" t="s">
        <v>1437</v>
      </c>
      <c r="C161" s="8" t="s">
        <v>1438</v>
      </c>
      <c r="D161" s="8" t="s">
        <v>26</v>
      </c>
      <c r="E161" s="8" t="n">
        <v>149000</v>
      </c>
      <c r="F161" s="38" t="n">
        <f aca="false">IFERROR(VALUE(SUBSTITUTE(SUBSTITUTE('VALO VOUCHER INDOFLAZ'!E4,"Rp. ",""),".","")),'VALO VOUCHER INDOFLAZ'!E4)</f>
        <v>140203</v>
      </c>
      <c r="G161" s="38" t="n">
        <f aca="false">IFERROR(VALUE(SUBSTITUTE(SUBSTITUTE('VALO VOUCHER INDOFLAZ'!F4,"Rp. ",""),".","")),'VALO VOUCHER INDOFLAZ'!F4)</f>
        <v>139703</v>
      </c>
      <c r="H161" s="38" t="n">
        <f aca="false">IFERROR(VALUE(SUBSTITUTE(SUBSTITUTE('VALO VOUCHER INDOFLAZ'!G4,"Rp. ",""),".","")),'VALO VOUCHER INDOFLAZ'!G4)</f>
        <v>139328</v>
      </c>
      <c r="I161" s="8" t="s">
        <v>2625</v>
      </c>
      <c r="J161" s="39"/>
      <c r="K161" s="39"/>
      <c r="L161" s="39"/>
      <c r="M161" s="8" t="n">
        <f aca="false">COUNT(J161:L161)</f>
        <v>0</v>
      </c>
      <c r="N161" s="40" t="str">
        <f aca="false">IF(M161&gt;0,"Ada","Tidak Ada")</f>
        <v>Tidak Ada</v>
      </c>
      <c r="O161" s="41" t="str">
        <f aca="false">IF(M161&gt;0,MIN(J161:L161),"-")</f>
        <v>-</v>
      </c>
      <c r="P161" s="41" t="str">
        <f aca="false">IF(M161&gt;0,AVERAGE(J161:L161),"-")</f>
        <v>-</v>
      </c>
      <c r="Q161" s="41" t="str">
        <f aca="false">IF(M161&gt;0,O161-G161,"-")</f>
        <v>-</v>
      </c>
      <c r="R161" s="42" t="str">
        <f aca="false">IF(M161&gt;0,IFERROR(Q161/O161,"-"),"-")</f>
        <v>-</v>
      </c>
      <c r="S161" s="41" t="n">
        <f aca="false">IF(M161&gt;0,ROUND(MAX(G161*1.08,O161*0.97)/100,0)*100,ROUND(G161*1.12/100,0)*100)</f>
        <v>156500</v>
      </c>
      <c r="T161" s="42" t="n">
        <f aca="false">IFERROR((S161-G161)/S161,"-")</f>
        <v>0.107329073482428</v>
      </c>
    </row>
    <row r="162" customFormat="false" ht="15" hidden="false" customHeight="false" outlineLevel="0" collapsed="false">
      <c r="A162" s="8" t="s">
        <v>1425</v>
      </c>
      <c r="B162" s="8" t="s">
        <v>1443</v>
      </c>
      <c r="C162" s="8" t="s">
        <v>1444</v>
      </c>
      <c r="D162" s="8" t="s">
        <v>26</v>
      </c>
      <c r="E162" s="8" t="n">
        <v>219000</v>
      </c>
      <c r="F162" s="38" t="n">
        <f aca="false">IFERROR(VALUE(SUBSTITUTE(SUBSTITUTE('VALO VOUCHER INDOFLAZ'!E5,"Rp. ",""),".","")),'VALO VOUCHER INDOFLAZ'!E5)</f>
        <v>205601</v>
      </c>
      <c r="G162" s="38" t="n">
        <f aca="false">IFERROR(VALUE(SUBSTITUTE(SUBSTITUTE('VALO VOUCHER INDOFLAZ'!F5,"Rp. ",""),".","")),'VALO VOUCHER INDOFLAZ'!F5)</f>
        <v>205101</v>
      </c>
      <c r="H162" s="38" t="n">
        <f aca="false">IFERROR(VALUE(SUBSTITUTE(SUBSTITUTE('VALO VOUCHER INDOFLAZ'!G5,"Rp. ",""),".","")),'VALO VOUCHER INDOFLAZ'!G5)</f>
        <v>204726</v>
      </c>
      <c r="I162" s="8" t="s">
        <v>2625</v>
      </c>
      <c r="J162" s="39"/>
      <c r="K162" s="39"/>
      <c r="L162" s="39"/>
      <c r="M162" s="8" t="n">
        <f aca="false">COUNT(J162:L162)</f>
        <v>0</v>
      </c>
      <c r="N162" s="40" t="str">
        <f aca="false">IF(M162&gt;0,"Ada","Tidak Ada")</f>
        <v>Tidak Ada</v>
      </c>
      <c r="O162" s="41" t="str">
        <f aca="false">IF(M162&gt;0,MIN(J162:L162),"-")</f>
        <v>-</v>
      </c>
      <c r="P162" s="41" t="str">
        <f aca="false">IF(M162&gt;0,AVERAGE(J162:L162),"-")</f>
        <v>-</v>
      </c>
      <c r="Q162" s="41" t="str">
        <f aca="false">IF(M162&gt;0,O162-G162,"-")</f>
        <v>-</v>
      </c>
      <c r="R162" s="42" t="str">
        <f aca="false">IF(M162&gt;0,IFERROR(Q162/O162,"-"),"-")</f>
        <v>-</v>
      </c>
      <c r="S162" s="41" t="n">
        <f aca="false">IF(M162&gt;0,ROUND(MAX(G162*1.08,O162*0.97)/100,0)*100,ROUND(G162*1.12/100,0)*100)</f>
        <v>229700</v>
      </c>
      <c r="T162" s="42" t="n">
        <f aca="false">IFERROR((S162-G162)/S162,"-")</f>
        <v>0.107091858946452</v>
      </c>
    </row>
    <row r="163" customFormat="false" ht="15" hidden="false" customHeight="false" outlineLevel="0" collapsed="false">
      <c r="A163" s="8" t="s">
        <v>1425</v>
      </c>
      <c r="B163" s="8" t="s">
        <v>1449</v>
      </c>
      <c r="C163" s="8" t="s">
        <v>1450</v>
      </c>
      <c r="D163" s="8" t="s">
        <v>26</v>
      </c>
      <c r="E163" s="8" t="n">
        <v>359000</v>
      </c>
      <c r="F163" s="38" t="n">
        <f aca="false">IFERROR(VALUE(SUBSTITUTE(SUBSTITUTE('VALO VOUCHER INDOFLAZ'!E6,"Rp. ",""),".","")),'VALO VOUCHER INDOFLAZ'!E6)</f>
        <v>336396</v>
      </c>
      <c r="G163" s="38" t="n">
        <f aca="false">IFERROR(VALUE(SUBSTITUTE(SUBSTITUTE('VALO VOUCHER INDOFLAZ'!F6,"Rp. ",""),".","")),'VALO VOUCHER INDOFLAZ'!F6)</f>
        <v>335896</v>
      </c>
      <c r="H163" s="38" t="n">
        <f aca="false">IFERROR(VALUE(SUBSTITUTE(SUBSTITUTE('VALO VOUCHER INDOFLAZ'!G6,"Rp. ",""),".","")),'VALO VOUCHER INDOFLAZ'!G6)</f>
        <v>335521</v>
      </c>
      <c r="I163" s="8" t="s">
        <v>2625</v>
      </c>
      <c r="J163" s="39"/>
      <c r="K163" s="39"/>
      <c r="L163" s="39"/>
      <c r="M163" s="8" t="n">
        <f aca="false">COUNT(J163:L163)</f>
        <v>0</v>
      </c>
      <c r="N163" s="40" t="str">
        <f aca="false">IF(M163&gt;0,"Ada","Tidak Ada")</f>
        <v>Tidak Ada</v>
      </c>
      <c r="O163" s="41" t="str">
        <f aca="false">IF(M163&gt;0,MIN(J163:L163),"-")</f>
        <v>-</v>
      </c>
      <c r="P163" s="41" t="str">
        <f aca="false">IF(M163&gt;0,AVERAGE(J163:L163),"-")</f>
        <v>-</v>
      </c>
      <c r="Q163" s="41" t="str">
        <f aca="false">IF(M163&gt;0,O163-G163,"-")</f>
        <v>-</v>
      </c>
      <c r="R163" s="42" t="str">
        <f aca="false">IF(M163&gt;0,IFERROR(Q163/O163,"-"),"-")</f>
        <v>-</v>
      </c>
      <c r="S163" s="41" t="n">
        <f aca="false">IF(M163&gt;0,ROUND(MAX(G163*1.08,O163*0.97)/100,0)*100,ROUND(G163*1.12/100,0)*100)</f>
        <v>376200</v>
      </c>
      <c r="T163" s="42" t="n">
        <f aca="false">IFERROR((S163-G163)/S163,"-")</f>
        <v>0.107134502923977</v>
      </c>
    </row>
    <row r="164" customFormat="false" ht="15" hidden="false" customHeight="false" outlineLevel="0" collapsed="false">
      <c r="A164" s="8" t="s">
        <v>1425</v>
      </c>
      <c r="B164" s="8" t="s">
        <v>1455</v>
      </c>
      <c r="C164" s="8" t="s">
        <v>1456</v>
      </c>
      <c r="D164" s="8" t="s">
        <v>26</v>
      </c>
      <c r="E164" s="8" t="n">
        <v>739000</v>
      </c>
      <c r="F164" s="38" t="n">
        <f aca="false">IFERROR(VALUE(SUBSTITUTE(SUBSTITUTE('VALO VOUCHER INDOFLAZ'!E7,"Rp. ",""),".","")),'VALO VOUCHER INDOFLAZ'!E7)</f>
        <v>691411</v>
      </c>
      <c r="G164" s="38" t="n">
        <f aca="false">IFERROR(VALUE(SUBSTITUTE(SUBSTITUTE('VALO VOUCHER INDOFLAZ'!F7,"Rp. ",""),".","")),'VALO VOUCHER INDOFLAZ'!F7)</f>
        <v>690911</v>
      </c>
      <c r="H164" s="38" t="n">
        <f aca="false">IFERROR(VALUE(SUBSTITUTE(SUBSTITUTE('VALO VOUCHER INDOFLAZ'!G7,"Rp. ",""),".","")),'VALO VOUCHER INDOFLAZ'!G7)</f>
        <v>690536</v>
      </c>
      <c r="I164" s="8" t="s">
        <v>2625</v>
      </c>
      <c r="J164" s="39"/>
      <c r="K164" s="39"/>
      <c r="L164" s="39"/>
      <c r="M164" s="8" t="n">
        <f aca="false">COUNT(J164:L164)</f>
        <v>0</v>
      </c>
      <c r="N164" s="40" t="str">
        <f aca="false">IF(M164&gt;0,"Ada","Tidak Ada")</f>
        <v>Tidak Ada</v>
      </c>
      <c r="O164" s="41" t="str">
        <f aca="false">IF(M164&gt;0,MIN(J164:L164),"-")</f>
        <v>-</v>
      </c>
      <c r="P164" s="41" t="str">
        <f aca="false">IF(M164&gt;0,AVERAGE(J164:L164),"-")</f>
        <v>-</v>
      </c>
      <c r="Q164" s="41" t="str">
        <f aca="false">IF(M164&gt;0,O164-G164,"-")</f>
        <v>-</v>
      </c>
      <c r="R164" s="42" t="str">
        <f aca="false">IF(M164&gt;0,IFERROR(Q164/O164,"-"),"-")</f>
        <v>-</v>
      </c>
      <c r="S164" s="41" t="n">
        <f aca="false">IF(M164&gt;0,ROUND(MAX(G164*1.08,O164*0.97)/100,0)*100,ROUND(G164*1.12/100,0)*100)</f>
        <v>773800</v>
      </c>
      <c r="T164" s="42" t="n">
        <f aca="false">IFERROR((S164-G164)/S164,"-")</f>
        <v>0.107119410700439</v>
      </c>
    </row>
    <row r="165" customFormat="false" ht="15" hidden="false" customHeight="false" outlineLevel="0" collapsed="false">
      <c r="A165" s="8" t="s">
        <v>1462</v>
      </c>
      <c r="B165" s="8" t="s">
        <v>1461</v>
      </c>
      <c r="C165" s="8" t="s">
        <v>1463</v>
      </c>
      <c r="D165" s="8" t="s">
        <v>27</v>
      </c>
      <c r="E165" s="8" t="n">
        <v>100000</v>
      </c>
      <c r="F165" s="38" t="n">
        <f aca="false">IFERROR(VALUE(SUBSTITUTE(SUBSTITUTE('Google Play Gift Card INDOFLAZ'!E2,"Rp. ",""),".","")),'Google Play Gift Card INDOFLAZ'!E2)</f>
        <v>98960</v>
      </c>
      <c r="G165" s="38" t="n">
        <f aca="false">IFERROR(VALUE(SUBSTITUTE(SUBSTITUTE('Google Play Gift Card INDOFLAZ'!F2,"Rp. ",""),".","")),'Google Play Gift Card INDOFLAZ'!F2)</f>
        <v>98760</v>
      </c>
      <c r="H165" s="38" t="n">
        <f aca="false">IFERROR(VALUE(SUBSTITUTE(SUBSTITUTE('Google Play Gift Card INDOFLAZ'!G2,"Rp. ",""),".","")),'Google Play Gift Card INDOFLAZ'!G2)</f>
        <v>98560</v>
      </c>
      <c r="I165" s="8" t="s">
        <v>2625</v>
      </c>
      <c r="J165" s="39"/>
      <c r="K165" s="39"/>
      <c r="L165" s="39"/>
      <c r="M165" s="8" t="n">
        <f aca="false">COUNT(J165:L165)</f>
        <v>0</v>
      </c>
      <c r="N165" s="40" t="str">
        <f aca="false">IF(M165&gt;0,"Ada","Tidak Ada")</f>
        <v>Tidak Ada</v>
      </c>
      <c r="O165" s="41" t="str">
        <f aca="false">IF(M165&gt;0,MIN(J165:L165),"-")</f>
        <v>-</v>
      </c>
      <c r="P165" s="41" t="str">
        <f aca="false">IF(M165&gt;0,AVERAGE(J165:L165),"-")</f>
        <v>-</v>
      </c>
      <c r="Q165" s="41" t="str">
        <f aca="false">IF(M165&gt;0,O165-G165,"-")</f>
        <v>-</v>
      </c>
      <c r="R165" s="42" t="str">
        <f aca="false">IF(M165&gt;0,IFERROR(Q165/O165,"-"),"-")</f>
        <v>-</v>
      </c>
      <c r="S165" s="41" t="n">
        <f aca="false">IF(M165&gt;0,ROUND(MAX(G165*1.08,O165*0.97)/100,0)*100,ROUND(G165*1.12/100,0)*100)</f>
        <v>110600</v>
      </c>
      <c r="T165" s="42" t="n">
        <f aca="false">IFERROR((S165-G165)/S165,"-")</f>
        <v>0.107052441229656</v>
      </c>
    </row>
    <row r="166" customFormat="false" ht="15" hidden="false" customHeight="false" outlineLevel="0" collapsed="false">
      <c r="A166" s="8" t="s">
        <v>1469</v>
      </c>
      <c r="B166" s="8" t="s">
        <v>1468</v>
      </c>
      <c r="C166" s="8" t="s">
        <v>1470</v>
      </c>
      <c r="D166" s="8" t="s">
        <v>28</v>
      </c>
      <c r="E166" s="8" t="n">
        <v>10</v>
      </c>
      <c r="F166" s="38" t="n">
        <f aca="false">IFERROR(VALUE(SUBSTITUTE(SUBSTITUTE('Google Play Us Region INDOFLAZ'!E2,"Rp. ",""),".","")),'Google Play Us Region INDOFLAZ'!E2)</f>
        <v>174625</v>
      </c>
      <c r="G166" s="38" t="n">
        <f aca="false">IFERROR(VALUE(SUBSTITUTE(SUBSTITUTE('Google Play Us Region INDOFLAZ'!F2,"Rp. ",""),".","")),'Google Play Us Region INDOFLAZ'!F2)</f>
        <v>174425</v>
      </c>
      <c r="H166" s="38" t="n">
        <f aca="false">IFERROR(VALUE(SUBSTITUTE(SUBSTITUTE('Google Play Us Region INDOFLAZ'!G2,"Rp. ",""),".","")),'Google Play Us Region INDOFLAZ'!G2)</f>
        <v>174225</v>
      </c>
      <c r="I166" s="8" t="s">
        <v>2625</v>
      </c>
      <c r="J166" s="39"/>
      <c r="K166" s="39"/>
      <c r="L166" s="39"/>
      <c r="M166" s="8" t="n">
        <f aca="false">COUNT(J166:L166)</f>
        <v>0</v>
      </c>
      <c r="N166" s="40" t="str">
        <f aca="false">IF(M166&gt;0,"Ada","Tidak Ada")</f>
        <v>Tidak Ada</v>
      </c>
      <c r="O166" s="41" t="str">
        <f aca="false">IF(M166&gt;0,MIN(J166:L166),"-")</f>
        <v>-</v>
      </c>
      <c r="P166" s="41" t="str">
        <f aca="false">IF(M166&gt;0,AVERAGE(J166:L166),"-")</f>
        <v>-</v>
      </c>
      <c r="Q166" s="41" t="str">
        <f aca="false">IF(M166&gt;0,O166-G166,"-")</f>
        <v>-</v>
      </c>
      <c r="R166" s="42" t="str">
        <f aca="false">IF(M166&gt;0,IFERROR(Q166/O166,"-"),"-")</f>
        <v>-</v>
      </c>
      <c r="S166" s="41" t="n">
        <f aca="false">IF(M166&gt;0,ROUND(MAX(G166*1.08,O166*0.97)/100,0)*100,ROUND(G166*1.12/100,0)*100)</f>
        <v>195400</v>
      </c>
      <c r="T166" s="42" t="n">
        <f aca="false">IFERROR((S166-G166)/S166,"-")</f>
        <v>0.107343909928352</v>
      </c>
    </row>
    <row r="167" customFormat="false" ht="15" hidden="false" customHeight="false" outlineLevel="0" collapsed="false">
      <c r="A167" s="8" t="s">
        <v>1469</v>
      </c>
      <c r="B167" s="8" t="s">
        <v>1475</v>
      </c>
      <c r="C167" s="8" t="s">
        <v>1476</v>
      </c>
      <c r="D167" s="8" t="s">
        <v>28</v>
      </c>
      <c r="E167" s="8" t="n">
        <v>15</v>
      </c>
      <c r="F167" s="38" t="n">
        <f aca="false">IFERROR(VALUE(SUBSTITUTE(SUBSTITUTE('Google Play Us Region INDOFLAZ'!E3,"Rp. ",""),".","")),'Google Play Us Region INDOFLAZ'!E3)</f>
        <v>240500</v>
      </c>
      <c r="G167" s="38" t="n">
        <f aca="false">IFERROR(VALUE(SUBSTITUTE(SUBSTITUTE('Google Play Us Region INDOFLAZ'!F3,"Rp. ",""),".","")),'Google Play Us Region INDOFLAZ'!F3)</f>
        <v>240300</v>
      </c>
      <c r="H167" s="38" t="n">
        <f aca="false">IFERROR(VALUE(SUBSTITUTE(SUBSTITUTE('Google Play Us Region INDOFLAZ'!G3,"Rp. ",""),".","")),'Google Play Us Region INDOFLAZ'!G3)</f>
        <v>240100</v>
      </c>
      <c r="I167" s="8" t="s">
        <v>2625</v>
      </c>
      <c r="J167" s="39"/>
      <c r="K167" s="39"/>
      <c r="L167" s="39"/>
      <c r="M167" s="8" t="n">
        <f aca="false">COUNT(J167:L167)</f>
        <v>0</v>
      </c>
      <c r="N167" s="40" t="str">
        <f aca="false">IF(M167&gt;0,"Ada","Tidak Ada")</f>
        <v>Tidak Ada</v>
      </c>
      <c r="O167" s="41" t="str">
        <f aca="false">IF(M167&gt;0,MIN(J167:L167),"-")</f>
        <v>-</v>
      </c>
      <c r="P167" s="41" t="str">
        <f aca="false">IF(M167&gt;0,AVERAGE(J167:L167),"-")</f>
        <v>-</v>
      </c>
      <c r="Q167" s="41" t="str">
        <f aca="false">IF(M167&gt;0,O167-G167,"-")</f>
        <v>-</v>
      </c>
      <c r="R167" s="42" t="str">
        <f aca="false">IF(M167&gt;0,IFERROR(Q167/O167,"-"),"-")</f>
        <v>-</v>
      </c>
      <c r="S167" s="41" t="n">
        <f aca="false">IF(M167&gt;0,ROUND(MAX(G167*1.08,O167*0.97)/100,0)*100,ROUND(G167*1.12/100,0)*100)</f>
        <v>269100</v>
      </c>
      <c r="T167" s="42" t="n">
        <f aca="false">IFERROR((S167-G167)/S167,"-")</f>
        <v>0.107023411371237</v>
      </c>
    </row>
    <row r="168" customFormat="false" ht="15" hidden="false" customHeight="false" outlineLevel="0" collapsed="false">
      <c r="A168" s="8" t="s">
        <v>1469</v>
      </c>
      <c r="B168" s="8" t="s">
        <v>1481</v>
      </c>
      <c r="C168" s="8" t="s">
        <v>1482</v>
      </c>
      <c r="D168" s="8" t="s">
        <v>28</v>
      </c>
      <c r="E168" s="8" t="n">
        <v>25</v>
      </c>
      <c r="F168" s="38" t="n">
        <f aca="false">IFERROR(VALUE(SUBSTITUTE(SUBSTITUTE('Google Play Us Region INDOFLAZ'!E4,"Rp. ",""),".","")),'Google Play Us Region INDOFLAZ'!E4)</f>
        <v>415500</v>
      </c>
      <c r="G168" s="38" t="n">
        <f aca="false">IFERROR(VALUE(SUBSTITUTE(SUBSTITUTE('Google Play Us Region INDOFLAZ'!F4,"Rp. ",""),".","")),'Google Play Us Region INDOFLAZ'!F4)</f>
        <v>415300</v>
      </c>
      <c r="H168" s="38" t="n">
        <f aca="false">IFERROR(VALUE(SUBSTITUTE(SUBSTITUTE('Google Play Us Region INDOFLAZ'!G4,"Rp. ",""),".","")),'Google Play Us Region INDOFLAZ'!G4)</f>
        <v>415100</v>
      </c>
      <c r="I168" s="8" t="s">
        <v>2625</v>
      </c>
      <c r="J168" s="39"/>
      <c r="K168" s="39"/>
      <c r="L168" s="39"/>
      <c r="M168" s="8" t="n">
        <f aca="false">COUNT(J168:L168)</f>
        <v>0</v>
      </c>
      <c r="N168" s="40" t="str">
        <f aca="false">IF(M168&gt;0,"Ada","Tidak Ada")</f>
        <v>Tidak Ada</v>
      </c>
      <c r="O168" s="41" t="str">
        <f aca="false">IF(M168&gt;0,MIN(J168:L168),"-")</f>
        <v>-</v>
      </c>
      <c r="P168" s="41" t="str">
        <f aca="false">IF(M168&gt;0,AVERAGE(J168:L168),"-")</f>
        <v>-</v>
      </c>
      <c r="Q168" s="41" t="str">
        <f aca="false">IF(M168&gt;0,O168-G168,"-")</f>
        <v>-</v>
      </c>
      <c r="R168" s="42" t="str">
        <f aca="false">IF(M168&gt;0,IFERROR(Q168/O168,"-"),"-")</f>
        <v>-</v>
      </c>
      <c r="S168" s="41" t="n">
        <f aca="false">IF(M168&gt;0,ROUND(MAX(G168*1.08,O168*0.97)/100,0)*100,ROUND(G168*1.12/100,0)*100)</f>
        <v>465100</v>
      </c>
      <c r="T168" s="42" t="n">
        <f aca="false">IFERROR((S168-G168)/S168,"-")</f>
        <v>0.107073747581165</v>
      </c>
    </row>
    <row r="169" customFormat="false" ht="15" hidden="false" customHeight="false" outlineLevel="0" collapsed="false">
      <c r="A169" s="8" t="s">
        <v>1469</v>
      </c>
      <c r="B169" s="8" t="s">
        <v>1487</v>
      </c>
      <c r="C169" s="8" t="s">
        <v>1488</v>
      </c>
      <c r="D169" s="8" t="s">
        <v>28</v>
      </c>
      <c r="E169" s="8" t="n">
        <v>100</v>
      </c>
      <c r="F169" s="38" t="n">
        <f aca="false">IFERROR(VALUE(SUBSTITUTE(SUBSTITUTE('Google Play Us Region INDOFLAZ'!E5,"Rp. ",""),".","")),'Google Play Us Region INDOFLAZ'!E5)</f>
        <v>1350500</v>
      </c>
      <c r="G169" s="38" t="n">
        <f aca="false">IFERROR(VALUE(SUBSTITUTE(SUBSTITUTE('Google Play Us Region INDOFLAZ'!F5,"Rp. ",""),".","")),'Google Play Us Region INDOFLAZ'!F5)</f>
        <v>1350300</v>
      </c>
      <c r="H169" s="38" t="n">
        <f aca="false">IFERROR(VALUE(SUBSTITUTE(SUBSTITUTE('Google Play Us Region INDOFLAZ'!G5,"Rp. ",""),".","")),'Google Play Us Region INDOFLAZ'!G5)</f>
        <v>1350100</v>
      </c>
      <c r="I169" s="8" t="s">
        <v>2625</v>
      </c>
      <c r="J169" s="39"/>
      <c r="K169" s="39"/>
      <c r="L169" s="39"/>
      <c r="M169" s="8" t="n">
        <f aca="false">COUNT(J169:L169)</f>
        <v>0</v>
      </c>
      <c r="N169" s="40" t="str">
        <f aca="false">IF(M169&gt;0,"Ada","Tidak Ada")</f>
        <v>Tidak Ada</v>
      </c>
      <c r="O169" s="41" t="str">
        <f aca="false">IF(M169&gt;0,MIN(J169:L169),"-")</f>
        <v>-</v>
      </c>
      <c r="P169" s="41" t="str">
        <f aca="false">IF(M169&gt;0,AVERAGE(J169:L169),"-")</f>
        <v>-</v>
      </c>
      <c r="Q169" s="41" t="str">
        <f aca="false">IF(M169&gt;0,O169-G169,"-")</f>
        <v>-</v>
      </c>
      <c r="R169" s="42" t="str">
        <f aca="false">IF(M169&gt;0,IFERROR(Q169/O169,"-"),"-")</f>
        <v>-</v>
      </c>
      <c r="S169" s="41" t="n">
        <f aca="false">IF(M169&gt;0,ROUND(MAX(G169*1.08,O169*0.97)/100,0)*100,ROUND(G169*1.12/100,0)*100)</f>
        <v>1512300</v>
      </c>
      <c r="T169" s="42" t="n">
        <f aca="false">IFERROR((S169-G169)/S169,"-")</f>
        <v>0.107121602856576</v>
      </c>
    </row>
    <row r="170" customFormat="false" ht="15" hidden="false" customHeight="false" outlineLevel="0" collapsed="false">
      <c r="A170" s="8" t="s">
        <v>1510</v>
      </c>
      <c r="B170" s="8" t="s">
        <v>1509</v>
      </c>
      <c r="C170" s="8" t="s">
        <v>878</v>
      </c>
      <c r="D170" s="8" t="s">
        <v>29</v>
      </c>
      <c r="E170" s="8" t="n">
        <v>5</v>
      </c>
      <c r="F170" s="38" t="n">
        <f aca="false">IFERROR(VALUE(SUBSTITUTE(SUBSTITUTE('iTunes INDOFLAZ'!E2,"Rp. ",""),".","")),'iTunes INDOFLAZ'!E2)</f>
        <v>1040</v>
      </c>
      <c r="G170" s="38" t="n">
        <f aca="false">IFERROR(VALUE(SUBSTITUTE(SUBSTITUTE('iTunes INDOFLAZ'!F2,"Rp. ",""),".","")),'iTunes INDOFLAZ'!F2)</f>
        <v>1030</v>
      </c>
      <c r="H170" s="38" t="n">
        <f aca="false">IFERROR(VALUE(SUBSTITUTE(SUBSTITUTE('iTunes INDOFLAZ'!G2,"Rp. ",""),".","")),'iTunes INDOFLAZ'!G2)</f>
        <v>1020</v>
      </c>
      <c r="I170" s="8" t="s">
        <v>2625</v>
      </c>
      <c r="J170" s="39"/>
      <c r="K170" s="39"/>
      <c r="L170" s="39"/>
      <c r="M170" s="8" t="n">
        <f aca="false">COUNT(J170:L170)</f>
        <v>0</v>
      </c>
      <c r="N170" s="40" t="str">
        <f aca="false">IF(M170&gt;0,"Ada","Tidak Ada")</f>
        <v>Tidak Ada</v>
      </c>
      <c r="O170" s="41" t="str">
        <f aca="false">IF(M170&gt;0,MIN(J170:L170),"-")</f>
        <v>-</v>
      </c>
      <c r="P170" s="41" t="str">
        <f aca="false">IF(M170&gt;0,AVERAGE(J170:L170),"-")</f>
        <v>-</v>
      </c>
      <c r="Q170" s="41" t="str">
        <f aca="false">IF(M170&gt;0,O170-G170,"-")</f>
        <v>-</v>
      </c>
      <c r="R170" s="42" t="str">
        <f aca="false">IF(M170&gt;0,IFERROR(Q170/O170,"-"),"-")</f>
        <v>-</v>
      </c>
      <c r="S170" s="41" t="n">
        <f aca="false">IF(M170&gt;0,ROUND(MAX(G170*1.08,O170*0.97)/100,0)*100,ROUND(G170*1.12/100,0)*100)</f>
        <v>1200</v>
      </c>
      <c r="T170" s="42" t="n">
        <f aca="false">IFERROR((S170-G170)/S170,"-")</f>
        <v>0.141666666666667</v>
      </c>
    </row>
    <row r="171" customFormat="false" ht="15" hidden="false" customHeight="false" outlineLevel="0" collapsed="false">
      <c r="A171" s="8" t="s">
        <v>1510</v>
      </c>
      <c r="B171" s="8" t="s">
        <v>1513</v>
      </c>
      <c r="C171" s="8" t="s">
        <v>1514</v>
      </c>
      <c r="D171" s="8" t="s">
        <v>29</v>
      </c>
      <c r="E171" s="8" t="n">
        <v>5</v>
      </c>
      <c r="F171" s="38" t="n">
        <f aca="false">IFERROR(VALUE(SUBSTITUTE(SUBSTITUTE('iTunes INDOFLAZ'!E3,"Rp. ",""),".","")),'iTunes INDOFLAZ'!E3)</f>
        <v>86793</v>
      </c>
      <c r="G171" s="38" t="n">
        <f aca="false">IFERROR(VALUE(SUBSTITUTE(SUBSTITUTE('iTunes INDOFLAZ'!F3,"Rp. ",""),".","")),'iTunes INDOFLAZ'!F3)</f>
        <v>86593</v>
      </c>
      <c r="H171" s="38" t="n">
        <f aca="false">IFERROR(VALUE(SUBSTITUTE(SUBSTITUTE('iTunes INDOFLAZ'!G3,"Rp. ",""),".","")),'iTunes INDOFLAZ'!G3)</f>
        <v>86393</v>
      </c>
      <c r="I171" s="8" t="s">
        <v>2625</v>
      </c>
      <c r="J171" s="39"/>
      <c r="K171" s="39"/>
      <c r="L171" s="39"/>
      <c r="M171" s="8" t="n">
        <f aca="false">COUNT(J171:L171)</f>
        <v>0</v>
      </c>
      <c r="N171" s="40" t="str">
        <f aca="false">IF(M171&gt;0,"Ada","Tidak Ada")</f>
        <v>Tidak Ada</v>
      </c>
      <c r="O171" s="41" t="str">
        <f aca="false">IF(M171&gt;0,MIN(J171:L171),"-")</f>
        <v>-</v>
      </c>
      <c r="P171" s="41" t="str">
        <f aca="false">IF(M171&gt;0,AVERAGE(J171:L171),"-")</f>
        <v>-</v>
      </c>
      <c r="Q171" s="41" t="str">
        <f aca="false">IF(M171&gt;0,O171-G171,"-")</f>
        <v>-</v>
      </c>
      <c r="R171" s="42" t="str">
        <f aca="false">IF(M171&gt;0,IFERROR(Q171/O171,"-"),"-")</f>
        <v>-</v>
      </c>
      <c r="S171" s="41" t="n">
        <f aca="false">IF(M171&gt;0,ROUND(MAX(G171*1.08,O171*0.97)/100,0)*100,ROUND(G171*1.12/100,0)*100)</f>
        <v>97000</v>
      </c>
      <c r="T171" s="42" t="n">
        <f aca="false">IFERROR((S171-G171)/S171,"-")</f>
        <v>0.107288659793814</v>
      </c>
    </row>
    <row r="172" customFormat="false" ht="15" hidden="false" customHeight="false" outlineLevel="0" collapsed="false">
      <c r="A172" s="8" t="s">
        <v>1510</v>
      </c>
      <c r="B172" s="8" t="s">
        <v>1519</v>
      </c>
      <c r="C172" s="8" t="s">
        <v>1520</v>
      </c>
      <c r="D172" s="8" t="s">
        <v>29</v>
      </c>
      <c r="E172" s="8" t="n">
        <v>10</v>
      </c>
      <c r="F172" s="38" t="n">
        <f aca="false">IFERROR(VALUE(SUBSTITUTE(SUBSTITUTE('iTunes INDOFLAZ'!E4,"Rp. ",""),".","")),'iTunes INDOFLAZ'!E4)</f>
        <v>173061</v>
      </c>
      <c r="G172" s="38" t="n">
        <f aca="false">IFERROR(VALUE(SUBSTITUTE(SUBSTITUTE('iTunes INDOFLAZ'!F4,"Rp. ",""),".","")),'iTunes INDOFLAZ'!F4)</f>
        <v>172861</v>
      </c>
      <c r="H172" s="38" t="n">
        <f aca="false">IFERROR(VALUE(SUBSTITUTE(SUBSTITUTE('iTunes INDOFLAZ'!G4,"Rp. ",""),".","")),'iTunes INDOFLAZ'!G4)</f>
        <v>172661</v>
      </c>
      <c r="I172" s="8" t="s">
        <v>2625</v>
      </c>
      <c r="J172" s="39"/>
      <c r="K172" s="39"/>
      <c r="L172" s="39"/>
      <c r="M172" s="8" t="n">
        <f aca="false">COUNT(J172:L172)</f>
        <v>0</v>
      </c>
      <c r="N172" s="40" t="str">
        <f aca="false">IF(M172&gt;0,"Ada","Tidak Ada")</f>
        <v>Tidak Ada</v>
      </c>
      <c r="O172" s="41" t="str">
        <f aca="false">IF(M172&gt;0,MIN(J172:L172),"-")</f>
        <v>-</v>
      </c>
      <c r="P172" s="41" t="str">
        <f aca="false">IF(M172&gt;0,AVERAGE(J172:L172),"-")</f>
        <v>-</v>
      </c>
      <c r="Q172" s="41" t="str">
        <f aca="false">IF(M172&gt;0,O172-G172,"-")</f>
        <v>-</v>
      </c>
      <c r="R172" s="42" t="str">
        <f aca="false">IF(M172&gt;0,IFERROR(Q172/O172,"-"),"-")</f>
        <v>-</v>
      </c>
      <c r="S172" s="41" t="n">
        <f aca="false">IF(M172&gt;0,ROUND(MAX(G172*1.08,O172*0.97)/100,0)*100,ROUND(G172*1.12/100,0)*100)</f>
        <v>193600</v>
      </c>
      <c r="T172" s="42" t="n">
        <f aca="false">IFERROR((S172-G172)/S172,"-")</f>
        <v>0.107122933884298</v>
      </c>
    </row>
    <row r="173" customFormat="false" ht="15" hidden="false" customHeight="false" outlineLevel="0" collapsed="false">
      <c r="A173" s="8" t="s">
        <v>1510</v>
      </c>
      <c r="B173" s="8" t="s">
        <v>1525</v>
      </c>
      <c r="C173" s="8" t="s">
        <v>1526</v>
      </c>
      <c r="D173" s="8" t="s">
        <v>29</v>
      </c>
      <c r="E173" s="8" t="n">
        <v>15</v>
      </c>
      <c r="F173" s="38" t="n">
        <f aca="false">IFERROR(VALUE(SUBSTITUTE(SUBSTITUTE('iTunes INDOFLAZ'!E5,"Rp. ",""),".","")),'iTunes INDOFLAZ'!E5)</f>
        <v>210525</v>
      </c>
      <c r="G173" s="38" t="n">
        <f aca="false">IFERROR(VALUE(SUBSTITUTE(SUBSTITUTE('iTunes INDOFLAZ'!F5,"Rp. ",""),".","")),'iTunes INDOFLAZ'!F5)</f>
        <v>210325</v>
      </c>
      <c r="H173" s="38" t="n">
        <f aca="false">IFERROR(VALUE(SUBSTITUTE(SUBSTITUTE('iTunes INDOFLAZ'!G5,"Rp. ",""),".","")),'iTunes INDOFLAZ'!G5)</f>
        <v>210125</v>
      </c>
      <c r="I173" s="8" t="s">
        <v>2625</v>
      </c>
      <c r="J173" s="39"/>
      <c r="K173" s="39"/>
      <c r="L173" s="39"/>
      <c r="M173" s="8" t="n">
        <f aca="false">COUNT(J173:L173)</f>
        <v>0</v>
      </c>
      <c r="N173" s="40" t="str">
        <f aca="false">IF(M173&gt;0,"Ada","Tidak Ada")</f>
        <v>Tidak Ada</v>
      </c>
      <c r="O173" s="41" t="str">
        <f aca="false">IF(M173&gt;0,MIN(J173:L173),"-")</f>
        <v>-</v>
      </c>
      <c r="P173" s="41" t="str">
        <f aca="false">IF(M173&gt;0,AVERAGE(J173:L173),"-")</f>
        <v>-</v>
      </c>
      <c r="Q173" s="41" t="str">
        <f aca="false">IF(M173&gt;0,O173-G173,"-")</f>
        <v>-</v>
      </c>
      <c r="R173" s="42" t="str">
        <f aca="false">IF(M173&gt;0,IFERROR(Q173/O173,"-"),"-")</f>
        <v>-</v>
      </c>
      <c r="S173" s="41" t="n">
        <f aca="false">IF(M173&gt;0,ROUND(MAX(G173*1.08,O173*0.97)/100,0)*100,ROUND(G173*1.12/100,0)*100)</f>
        <v>235600</v>
      </c>
      <c r="T173" s="42" t="n">
        <f aca="false">IFERROR((S173-G173)/S173,"-")</f>
        <v>0.107279286926995</v>
      </c>
    </row>
    <row r="174" customFormat="false" ht="15" hidden="false" customHeight="false" outlineLevel="0" collapsed="false">
      <c r="A174" s="8" t="s">
        <v>1510</v>
      </c>
      <c r="B174" s="8" t="s">
        <v>1531</v>
      </c>
      <c r="C174" s="8" t="s">
        <v>1532</v>
      </c>
      <c r="D174" s="8" t="s">
        <v>29</v>
      </c>
      <c r="E174" s="8" t="n">
        <v>25</v>
      </c>
      <c r="F174" s="38" t="n">
        <f aca="false">IFERROR(VALUE(SUBSTITUTE(SUBSTITUTE('iTunes INDOFLAZ'!E6,"Rp. ",""),".","")),'iTunes INDOFLAZ'!E6)</f>
        <v>383300</v>
      </c>
      <c r="G174" s="38" t="n">
        <f aca="false">IFERROR(VALUE(SUBSTITUTE(SUBSTITUTE('iTunes INDOFLAZ'!F6,"Rp. ",""),".","")),'iTunes INDOFLAZ'!F6)</f>
        <v>383100</v>
      </c>
      <c r="H174" s="38" t="n">
        <f aca="false">IFERROR(VALUE(SUBSTITUTE(SUBSTITUTE('iTunes INDOFLAZ'!G6,"Rp. ",""),".","")),'iTunes INDOFLAZ'!G6)</f>
        <v>382900</v>
      </c>
      <c r="I174" s="8" t="s">
        <v>2625</v>
      </c>
      <c r="J174" s="39"/>
      <c r="K174" s="39"/>
      <c r="L174" s="39"/>
      <c r="M174" s="8" t="n">
        <f aca="false">COUNT(J174:L174)</f>
        <v>0</v>
      </c>
      <c r="N174" s="40" t="str">
        <f aca="false">IF(M174&gt;0,"Ada","Tidak Ada")</f>
        <v>Tidak Ada</v>
      </c>
      <c r="O174" s="41" t="str">
        <f aca="false">IF(M174&gt;0,MIN(J174:L174),"-")</f>
        <v>-</v>
      </c>
      <c r="P174" s="41" t="str">
        <f aca="false">IF(M174&gt;0,AVERAGE(J174:L174),"-")</f>
        <v>-</v>
      </c>
      <c r="Q174" s="41" t="str">
        <f aca="false">IF(M174&gt;0,O174-G174,"-")</f>
        <v>-</v>
      </c>
      <c r="R174" s="42" t="str">
        <f aca="false">IF(M174&gt;0,IFERROR(Q174/O174,"-"),"-")</f>
        <v>-</v>
      </c>
      <c r="S174" s="41" t="n">
        <f aca="false">IF(M174&gt;0,ROUND(MAX(G174*1.08,O174*0.97)/100,0)*100,ROUND(G174*1.12/100,0)*100)</f>
        <v>429100</v>
      </c>
      <c r="T174" s="42" t="n">
        <f aca="false">IFERROR((S174-G174)/S174,"-")</f>
        <v>0.107201118620368</v>
      </c>
    </row>
    <row r="175" customFormat="false" ht="15" hidden="false" customHeight="false" outlineLevel="0" collapsed="false">
      <c r="A175" s="8" t="s">
        <v>1510</v>
      </c>
      <c r="B175" s="8" t="s">
        <v>1537</v>
      </c>
      <c r="C175" s="8" t="s">
        <v>1538</v>
      </c>
      <c r="D175" s="8" t="s">
        <v>29</v>
      </c>
      <c r="E175" s="8" t="n">
        <v>50</v>
      </c>
      <c r="F175" s="38" t="n">
        <f aca="false">IFERROR(VALUE(SUBSTITUTE(SUBSTITUTE('iTunes INDOFLAZ'!E7,"Rp. ",""),".","")),'iTunes INDOFLAZ'!E7)</f>
        <v>780500</v>
      </c>
      <c r="G175" s="38" t="n">
        <f aca="false">IFERROR(VALUE(SUBSTITUTE(SUBSTITUTE('iTunes INDOFLAZ'!F7,"Rp. ",""),".","")),'iTunes INDOFLAZ'!F7)</f>
        <v>780300</v>
      </c>
      <c r="H175" s="38" t="n">
        <f aca="false">IFERROR(VALUE(SUBSTITUTE(SUBSTITUTE('iTunes INDOFLAZ'!G7,"Rp. ",""),".","")),'iTunes INDOFLAZ'!G7)</f>
        <v>780100</v>
      </c>
      <c r="I175" s="8" t="s">
        <v>2625</v>
      </c>
      <c r="J175" s="39"/>
      <c r="K175" s="39"/>
      <c r="L175" s="39"/>
      <c r="M175" s="8" t="n">
        <f aca="false">COUNT(J175:L175)</f>
        <v>0</v>
      </c>
      <c r="N175" s="40" t="str">
        <f aca="false">IF(M175&gt;0,"Ada","Tidak Ada")</f>
        <v>Tidak Ada</v>
      </c>
      <c r="O175" s="41" t="str">
        <f aca="false">IF(M175&gt;0,MIN(J175:L175),"-")</f>
        <v>-</v>
      </c>
      <c r="P175" s="41" t="str">
        <f aca="false">IF(M175&gt;0,AVERAGE(J175:L175),"-")</f>
        <v>-</v>
      </c>
      <c r="Q175" s="41" t="str">
        <f aca="false">IF(M175&gt;0,O175-G175,"-")</f>
        <v>-</v>
      </c>
      <c r="R175" s="42" t="str">
        <f aca="false">IF(M175&gt;0,IFERROR(Q175/O175,"-"),"-")</f>
        <v>-</v>
      </c>
      <c r="S175" s="41" t="n">
        <f aca="false">IF(M175&gt;0,ROUND(MAX(G175*1.08,O175*0.97)/100,0)*100,ROUND(G175*1.12/100,0)*100)</f>
        <v>873900</v>
      </c>
      <c r="T175" s="42" t="n">
        <f aca="false">IFERROR((S175-G175)/S175,"-")</f>
        <v>0.107106076210093</v>
      </c>
    </row>
    <row r="176" customFormat="false" ht="15" hidden="false" customHeight="false" outlineLevel="0" collapsed="false">
      <c r="A176" s="8" t="s">
        <v>1510</v>
      </c>
      <c r="B176" s="8" t="s">
        <v>1543</v>
      </c>
      <c r="C176" s="8" t="s">
        <v>1544</v>
      </c>
      <c r="D176" s="8" t="s">
        <v>29</v>
      </c>
      <c r="E176" s="8" t="n">
        <v>100</v>
      </c>
      <c r="F176" s="38" t="n">
        <f aca="false">IFERROR(VALUE(SUBSTITUTE(SUBSTITUTE('iTunes INDOFLAZ'!E8,"Rp. ",""),".","")),'iTunes INDOFLAZ'!E8)</f>
        <v>1717965</v>
      </c>
      <c r="G176" s="38" t="n">
        <f aca="false">IFERROR(VALUE(SUBSTITUTE(SUBSTITUTE('iTunes INDOFLAZ'!F8,"Rp. ",""),".","")),'iTunes INDOFLAZ'!F8)</f>
        <v>1717765</v>
      </c>
      <c r="H176" s="38" t="n">
        <f aca="false">IFERROR(VALUE(SUBSTITUTE(SUBSTITUTE('iTunes INDOFLAZ'!G8,"Rp. ",""),".","")),'iTunes INDOFLAZ'!G8)</f>
        <v>1717565</v>
      </c>
      <c r="I176" s="8" t="s">
        <v>2625</v>
      </c>
      <c r="J176" s="39"/>
      <c r="K176" s="39"/>
      <c r="L176" s="39"/>
      <c r="M176" s="8" t="n">
        <f aca="false">COUNT(J176:L176)</f>
        <v>0</v>
      </c>
      <c r="N176" s="40" t="str">
        <f aca="false">IF(M176&gt;0,"Ada","Tidak Ada")</f>
        <v>Tidak Ada</v>
      </c>
      <c r="O176" s="41" t="str">
        <f aca="false">IF(M176&gt;0,MIN(J176:L176),"-")</f>
        <v>-</v>
      </c>
      <c r="P176" s="41" t="str">
        <f aca="false">IF(M176&gt;0,AVERAGE(J176:L176),"-")</f>
        <v>-</v>
      </c>
      <c r="Q176" s="41" t="str">
        <f aca="false">IF(M176&gt;0,O176-G176,"-")</f>
        <v>-</v>
      </c>
      <c r="R176" s="42" t="str">
        <f aca="false">IF(M176&gt;0,IFERROR(Q176/O176,"-"),"-")</f>
        <v>-</v>
      </c>
      <c r="S176" s="41" t="n">
        <f aca="false">IF(M176&gt;0,ROUND(MAX(G176*1.08,O176*0.97)/100,0)*100,ROUND(G176*1.12/100,0)*100)</f>
        <v>1923900</v>
      </c>
      <c r="T176" s="42" t="n">
        <f aca="false">IFERROR((S176-G176)/S176,"-")</f>
        <v>0.107144342221529</v>
      </c>
    </row>
    <row r="177" customFormat="false" ht="15" hidden="false" customHeight="false" outlineLevel="0" collapsed="false">
      <c r="A177" s="8" t="s">
        <v>1550</v>
      </c>
      <c r="B177" s="8" t="s">
        <v>1549</v>
      </c>
      <c r="C177" s="8" t="s">
        <v>1551</v>
      </c>
      <c r="D177" s="8" t="s">
        <v>30</v>
      </c>
      <c r="E177" s="8" t="n">
        <v>12000</v>
      </c>
      <c r="F177" s="38" t="n">
        <f aca="false">IFERROR(VALUE(SUBSTITUTE(SUBSTITUTE('Steam Wallet  INDOFLAZ'!E2,"Rp. ",""),".","")),'Steam Wallet  INDOFLAZ'!E2)</f>
        <v>11800</v>
      </c>
      <c r="G177" s="38" t="n">
        <f aca="false">IFERROR(VALUE(SUBSTITUTE(SUBSTITUTE('Steam Wallet  INDOFLAZ'!F2,"Rp. ",""),".","")),'Steam Wallet  INDOFLAZ'!F2)</f>
        <v>11700</v>
      </c>
      <c r="H177" s="38" t="n">
        <f aca="false">IFERROR(VALUE(SUBSTITUTE(SUBSTITUTE('Steam Wallet  INDOFLAZ'!G2,"Rp. ",""),".","")),'Steam Wallet  INDOFLAZ'!G2)</f>
        <v>11600</v>
      </c>
      <c r="I177" s="8" t="s">
        <v>2637</v>
      </c>
      <c r="J177" s="38" t="n">
        <f aca="false">'Steam Wallet OURA STORE'!A4</f>
        <v>13753</v>
      </c>
      <c r="K177" s="39"/>
      <c r="L177" s="39"/>
      <c r="M177" s="8" t="n">
        <f aca="false">COUNT(J177:L177)</f>
        <v>1</v>
      </c>
      <c r="N177" s="40" t="str">
        <f aca="false">IF(M177&gt;0,"Ada","Tidak Ada")</f>
        <v>Ada</v>
      </c>
      <c r="O177" s="41" t="n">
        <f aca="false">IF(M177&gt;0,MIN(J177:L177),"-")</f>
        <v>13753</v>
      </c>
      <c r="P177" s="41" t="n">
        <f aca="false">IF(M177&gt;0,AVERAGE(J177:L177),"-")</f>
        <v>13753</v>
      </c>
      <c r="Q177" s="41" t="n">
        <f aca="false">IF(M177&gt;0,O177-G177,"-")</f>
        <v>2053</v>
      </c>
      <c r="R177" s="42" t="n">
        <f aca="false">IF(M177&gt;0,IFERROR(Q177/O177,"-"),"-")</f>
        <v>0.149276521486221</v>
      </c>
      <c r="S177" s="41" t="n">
        <f aca="false">IF(M177&gt;0,ROUND(MAX(G177*1.08,O177*0.97)/100,0)*100,ROUND(G177*1.12/100,0)*100)</f>
        <v>13300</v>
      </c>
      <c r="T177" s="42" t="n">
        <f aca="false">IFERROR((S177-G177)/S177,"-")</f>
        <v>0.120300751879699</v>
      </c>
    </row>
    <row r="178" customFormat="false" ht="15" hidden="false" customHeight="false" outlineLevel="0" collapsed="false">
      <c r="A178" s="8" t="s">
        <v>1550</v>
      </c>
      <c r="B178" s="8" t="s">
        <v>1556</v>
      </c>
      <c r="C178" s="8" t="s">
        <v>1557</v>
      </c>
      <c r="D178" s="8" t="s">
        <v>30</v>
      </c>
      <c r="E178" s="8" t="n">
        <v>45000</v>
      </c>
      <c r="F178" s="38" t="n">
        <f aca="false">IFERROR(VALUE(SUBSTITUTE(SUBSTITUTE('Steam Wallet  INDOFLAZ'!E3,"Rp. ",""),".","")),'Steam Wallet  INDOFLAZ'!E3)</f>
        <v>45593</v>
      </c>
      <c r="G178" s="38" t="n">
        <f aca="false">IFERROR(VALUE(SUBSTITUTE(SUBSTITUTE('Steam Wallet  INDOFLAZ'!F3,"Rp. ",""),".","")),'Steam Wallet  INDOFLAZ'!F3)</f>
        <v>45343</v>
      </c>
      <c r="H178" s="38" t="n">
        <f aca="false">IFERROR(VALUE(SUBSTITUTE(SUBSTITUTE('Steam Wallet  INDOFLAZ'!G3,"Rp. ",""),".","")),'Steam Wallet  INDOFLAZ'!G3)</f>
        <v>44943</v>
      </c>
      <c r="I178" s="8" t="s">
        <v>2625</v>
      </c>
      <c r="J178" s="39"/>
      <c r="K178" s="39"/>
      <c r="L178" s="39"/>
      <c r="M178" s="8" t="n">
        <f aca="false">COUNT(J178:L178)</f>
        <v>0</v>
      </c>
      <c r="N178" s="40" t="str">
        <f aca="false">IF(M178&gt;0,"Ada","Tidak Ada")</f>
        <v>Tidak Ada</v>
      </c>
      <c r="O178" s="41" t="str">
        <f aca="false">IF(M178&gt;0,MIN(J178:L178),"-")</f>
        <v>-</v>
      </c>
      <c r="P178" s="41" t="str">
        <f aca="false">IF(M178&gt;0,AVERAGE(J178:L178),"-")</f>
        <v>-</v>
      </c>
      <c r="Q178" s="41" t="str">
        <f aca="false">IF(M178&gt;0,O178-G178,"-")</f>
        <v>-</v>
      </c>
      <c r="R178" s="42" t="str">
        <f aca="false">IF(M178&gt;0,IFERROR(Q178/O178,"-"),"-")</f>
        <v>-</v>
      </c>
      <c r="S178" s="41" t="n">
        <f aca="false">IF(M178&gt;0,ROUND(MAX(G178*1.08,O178*0.97)/100,0)*100,ROUND(G178*1.12/100,0)*100)</f>
        <v>50800</v>
      </c>
      <c r="T178" s="42" t="n">
        <f aca="false">IFERROR((S178-G178)/S178,"-")</f>
        <v>0.10742125984252</v>
      </c>
    </row>
    <row r="179" customFormat="false" ht="15" hidden="false" customHeight="false" outlineLevel="0" collapsed="false">
      <c r="A179" s="8" t="s">
        <v>1550</v>
      </c>
      <c r="B179" s="8" t="s">
        <v>1562</v>
      </c>
      <c r="C179" s="8" t="s">
        <v>1563</v>
      </c>
      <c r="D179" s="8" t="s">
        <v>30</v>
      </c>
      <c r="E179" s="8" t="n">
        <v>60000</v>
      </c>
      <c r="F179" s="38" t="n">
        <f aca="false">IFERROR(VALUE(SUBSTITUTE(SUBSTITUTE('Steam Wallet  INDOFLAZ'!E4,"Rp. ",""),".","")),'Steam Wallet  INDOFLAZ'!E4)</f>
        <v>58966</v>
      </c>
      <c r="G179" s="38" t="n">
        <f aca="false">IFERROR(VALUE(SUBSTITUTE(SUBSTITUTE('Steam Wallet  INDOFLAZ'!F4,"Rp. ",""),".","")),'Steam Wallet  INDOFLAZ'!F4)</f>
        <v>58766</v>
      </c>
      <c r="H179" s="38" t="n">
        <f aca="false">IFERROR(VALUE(SUBSTITUTE(SUBSTITUTE('Steam Wallet  INDOFLAZ'!G4,"Rp. ",""),".","")),'Steam Wallet  INDOFLAZ'!G4)</f>
        <v>58566</v>
      </c>
      <c r="I179" s="8" t="s">
        <v>2637</v>
      </c>
      <c r="J179" s="38" t="n">
        <f aca="false">'Steam Wallet OURA STORE'!A6</f>
        <v>68763</v>
      </c>
      <c r="K179" s="39"/>
      <c r="L179" s="39"/>
      <c r="M179" s="8" t="n">
        <f aca="false">COUNT(J179:L179)</f>
        <v>1</v>
      </c>
      <c r="N179" s="40" t="str">
        <f aca="false">IF(M179&gt;0,"Ada","Tidak Ada")</f>
        <v>Ada</v>
      </c>
      <c r="O179" s="41" t="n">
        <f aca="false">IF(M179&gt;0,MIN(J179:L179),"-")</f>
        <v>68763</v>
      </c>
      <c r="P179" s="41" t="n">
        <f aca="false">IF(M179&gt;0,AVERAGE(J179:L179),"-")</f>
        <v>68763</v>
      </c>
      <c r="Q179" s="41" t="n">
        <f aca="false">IF(M179&gt;0,O179-G179,"-")</f>
        <v>9997</v>
      </c>
      <c r="R179" s="42" t="n">
        <f aca="false">IF(M179&gt;0,IFERROR(Q179/O179,"-"),"-")</f>
        <v>0.145383418408156</v>
      </c>
      <c r="S179" s="41" t="n">
        <f aca="false">IF(M179&gt;0,ROUND(MAX(G179*1.08,O179*0.97)/100,0)*100,ROUND(G179*1.12/100,0)*100)</f>
        <v>66700</v>
      </c>
      <c r="T179" s="42" t="n">
        <f aca="false">IFERROR((S179-G179)/S179,"-")</f>
        <v>0.118950524737631</v>
      </c>
    </row>
    <row r="180" customFormat="false" ht="15" hidden="false" customHeight="false" outlineLevel="0" collapsed="false">
      <c r="A180" s="8" t="s">
        <v>1550</v>
      </c>
      <c r="B180" s="8" t="s">
        <v>1568</v>
      </c>
      <c r="C180" s="8" t="s">
        <v>1569</v>
      </c>
      <c r="D180" s="8" t="s">
        <v>30</v>
      </c>
      <c r="E180" s="8" t="n">
        <v>90000</v>
      </c>
      <c r="F180" s="38" t="n">
        <f aca="false">IFERROR(VALUE(SUBSTITUTE(SUBSTITUTE('Steam Wallet  INDOFLAZ'!E5,"Rp. ",""),".","")),'Steam Wallet  INDOFLAZ'!E5)</f>
        <v>89437</v>
      </c>
      <c r="G180" s="38" t="n">
        <f aca="false">IFERROR(VALUE(SUBSTITUTE(SUBSTITUTE('Steam Wallet  INDOFLAZ'!F5,"Rp. ",""),".","")),'Steam Wallet  INDOFLAZ'!F5)</f>
        <v>89237</v>
      </c>
      <c r="H180" s="38" t="n">
        <f aca="false">IFERROR(VALUE(SUBSTITUTE(SUBSTITUTE('Steam Wallet  INDOFLAZ'!G5,"Rp. ",""),".","")),'Steam Wallet  INDOFLAZ'!G5)</f>
        <v>89037</v>
      </c>
      <c r="I180" s="8" t="s">
        <v>2637</v>
      </c>
      <c r="J180" s="38" t="n">
        <f aca="false">'Steam Wallet OURA STORE'!A8</f>
        <v>98037</v>
      </c>
      <c r="K180" s="39"/>
      <c r="L180" s="39"/>
      <c r="M180" s="8" t="n">
        <f aca="false">COUNT(J180:L180)</f>
        <v>1</v>
      </c>
      <c r="N180" s="40" t="str">
        <f aca="false">IF(M180&gt;0,"Ada","Tidak Ada")</f>
        <v>Ada</v>
      </c>
      <c r="O180" s="41" t="n">
        <f aca="false">IF(M180&gt;0,MIN(J180:L180),"-")</f>
        <v>98037</v>
      </c>
      <c r="P180" s="41" t="n">
        <f aca="false">IF(M180&gt;0,AVERAGE(J180:L180),"-")</f>
        <v>98037</v>
      </c>
      <c r="Q180" s="41" t="n">
        <f aca="false">IF(M180&gt;0,O180-G180,"-")</f>
        <v>8800</v>
      </c>
      <c r="R180" s="42" t="n">
        <f aca="false">IF(M180&gt;0,IFERROR(Q180/O180,"-"),"-")</f>
        <v>0.0897620286218469</v>
      </c>
      <c r="S180" s="41" t="n">
        <f aca="false">IF(M180&gt;0,ROUND(MAX(G180*1.08,O180*0.97)/100,0)*100,ROUND(G180*1.12/100,0)*100)</f>
        <v>96400</v>
      </c>
      <c r="T180" s="42" t="n">
        <f aca="false">IFERROR((S180-G180)/S180,"-")</f>
        <v>0.074304979253112</v>
      </c>
    </row>
    <row r="181" customFormat="false" ht="15" hidden="false" customHeight="false" outlineLevel="0" collapsed="false">
      <c r="A181" s="8" t="s">
        <v>1550</v>
      </c>
      <c r="B181" s="8" t="s">
        <v>1574</v>
      </c>
      <c r="C181" s="8" t="s">
        <v>1575</v>
      </c>
      <c r="D181" s="8" t="s">
        <v>30</v>
      </c>
      <c r="E181" s="8" t="n">
        <v>120000</v>
      </c>
      <c r="F181" s="38" t="n">
        <f aca="false">IFERROR(VALUE(SUBSTITUTE(SUBSTITUTE('Steam Wallet  INDOFLAZ'!E6,"Rp. ",""),".","")),'Steam Wallet  INDOFLAZ'!E6)</f>
        <v>120582</v>
      </c>
      <c r="G181" s="38" t="n">
        <f aca="false">IFERROR(VALUE(SUBSTITUTE(SUBSTITUTE('Steam Wallet  INDOFLAZ'!F6,"Rp. ",""),".","")),'Steam Wallet  INDOFLAZ'!F6)</f>
        <v>120082</v>
      </c>
      <c r="H181" s="38" t="n">
        <f aca="false">IFERROR(VALUE(SUBSTITUTE(SUBSTITUTE('Steam Wallet  INDOFLAZ'!G6,"Rp. ",""),".","")),'Steam Wallet  INDOFLAZ'!G6)</f>
        <v>119682</v>
      </c>
      <c r="I181" s="8" t="s">
        <v>2637</v>
      </c>
      <c r="J181" s="38" t="n">
        <f aca="false">'Steam Wallet OURA STORE'!A10</f>
        <v>137524</v>
      </c>
      <c r="K181" s="39"/>
      <c r="L181" s="39"/>
      <c r="M181" s="8" t="n">
        <f aca="false">COUNT(J181:L181)</f>
        <v>1</v>
      </c>
      <c r="N181" s="40" t="str">
        <f aca="false">IF(M181&gt;0,"Ada","Tidak Ada")</f>
        <v>Ada</v>
      </c>
      <c r="O181" s="41" t="n">
        <f aca="false">IF(M181&gt;0,MIN(J181:L181),"-")</f>
        <v>137524</v>
      </c>
      <c r="P181" s="41" t="n">
        <f aca="false">IF(M181&gt;0,AVERAGE(J181:L181),"-")</f>
        <v>137524</v>
      </c>
      <c r="Q181" s="41" t="n">
        <f aca="false">IF(M181&gt;0,O181-G181,"-")</f>
        <v>17442</v>
      </c>
      <c r="R181" s="42" t="n">
        <f aca="false">IF(M181&gt;0,IFERROR(Q181/O181,"-"),"-")</f>
        <v>0.126828771705302</v>
      </c>
      <c r="S181" s="41" t="n">
        <f aca="false">IF(M181&gt;0,ROUND(MAX(G181*1.08,O181*0.97)/100,0)*100,ROUND(G181*1.12/100,0)*100)</f>
        <v>133400</v>
      </c>
      <c r="T181" s="42" t="n">
        <f aca="false">IFERROR((S181-G181)/S181,"-")</f>
        <v>0.0998350824587706</v>
      </c>
    </row>
    <row r="182" customFormat="false" ht="15" hidden="false" customHeight="false" outlineLevel="0" collapsed="false">
      <c r="A182" s="8" t="s">
        <v>1550</v>
      </c>
      <c r="B182" s="8" t="s">
        <v>1580</v>
      </c>
      <c r="C182" s="8" t="s">
        <v>1581</v>
      </c>
      <c r="D182" s="8" t="s">
        <v>30</v>
      </c>
      <c r="E182" s="8" t="n">
        <v>250000</v>
      </c>
      <c r="F182" s="38" t="n">
        <f aca="false">IFERROR(VALUE(SUBSTITUTE(SUBSTITUTE('Steam Wallet  INDOFLAZ'!E7,"Rp. ",""),".","")),'Steam Wallet  INDOFLAZ'!E7)</f>
        <v>249019</v>
      </c>
      <c r="G182" s="38" t="n">
        <f aca="false">IFERROR(VALUE(SUBSTITUTE(SUBSTITUTE('Steam Wallet  INDOFLAZ'!F7,"Rp. ",""),".","")),'Steam Wallet  INDOFLAZ'!F7)</f>
        <v>248019</v>
      </c>
      <c r="H182" s="38" t="n">
        <f aca="false">IFERROR(VALUE(SUBSTITUTE(SUBSTITUTE('Steam Wallet  INDOFLAZ'!G7,"Rp. ",""),".","")),'Steam Wallet  INDOFLAZ'!G7)</f>
        <v>247519</v>
      </c>
      <c r="I182" s="8" t="s">
        <v>2637</v>
      </c>
      <c r="J182" s="38" t="n">
        <f aca="false">'Steam Wallet OURA STORE'!A12</f>
        <v>286508</v>
      </c>
      <c r="K182" s="39"/>
      <c r="L182" s="39"/>
      <c r="M182" s="8" t="n">
        <f aca="false">COUNT(J182:L182)</f>
        <v>1</v>
      </c>
      <c r="N182" s="40" t="str">
        <f aca="false">IF(M182&gt;0,"Ada","Tidak Ada")</f>
        <v>Ada</v>
      </c>
      <c r="O182" s="41" t="n">
        <f aca="false">IF(M182&gt;0,MIN(J182:L182),"-")</f>
        <v>286508</v>
      </c>
      <c r="P182" s="41" t="n">
        <f aca="false">IF(M182&gt;0,AVERAGE(J182:L182),"-")</f>
        <v>286508</v>
      </c>
      <c r="Q182" s="41" t="n">
        <f aca="false">IF(M182&gt;0,O182-G182,"-")</f>
        <v>38489</v>
      </c>
      <c r="R182" s="42" t="n">
        <f aca="false">IF(M182&gt;0,IFERROR(Q182/O182,"-"),"-")</f>
        <v>0.134338308179876</v>
      </c>
      <c r="S182" s="41" t="n">
        <f aca="false">IF(M182&gt;0,ROUND(MAX(G182*1.08,O182*0.97)/100,0)*100,ROUND(G182*1.12/100,0)*100)</f>
        <v>277900</v>
      </c>
      <c r="T182" s="42" t="n">
        <f aca="false">IFERROR((S182-G182)/S182,"-")</f>
        <v>0.107524289312702</v>
      </c>
    </row>
    <row r="183" customFormat="false" ht="15" hidden="false" customHeight="false" outlineLevel="0" collapsed="false">
      <c r="A183" s="8" t="s">
        <v>1550</v>
      </c>
      <c r="B183" s="8" t="s">
        <v>1586</v>
      </c>
      <c r="C183" s="8" t="s">
        <v>1587</v>
      </c>
      <c r="D183" s="8" t="s">
        <v>30</v>
      </c>
      <c r="E183" s="8" t="n">
        <v>400000</v>
      </c>
      <c r="F183" s="38" t="n">
        <f aca="false">IFERROR(VALUE(SUBSTITUTE(SUBSTITUTE('Steam Wallet  INDOFLAZ'!E8,"Rp. ",""),".","")),'Steam Wallet  INDOFLAZ'!E8)</f>
        <v>398045</v>
      </c>
      <c r="G183" s="38" t="n">
        <f aca="false">IFERROR(VALUE(SUBSTITUTE(SUBSTITUTE('Steam Wallet  INDOFLAZ'!F8,"Rp. ",""),".","")),'Steam Wallet  INDOFLAZ'!F8)</f>
        <v>396045</v>
      </c>
      <c r="H183" s="38" t="n">
        <f aca="false">IFERROR(VALUE(SUBSTITUTE(SUBSTITUTE('Steam Wallet  INDOFLAZ'!G8,"Rp. ",""),".","")),'Steam Wallet  INDOFLAZ'!G8)</f>
        <v>395545</v>
      </c>
      <c r="I183" s="8" t="s">
        <v>2637</v>
      </c>
      <c r="J183" s="38" t="n">
        <f aca="false">'Steam Wallet OURA STORE'!A14</f>
        <v>458412</v>
      </c>
      <c r="K183" s="39"/>
      <c r="L183" s="39"/>
      <c r="M183" s="8" t="n">
        <f aca="false">COUNT(J183:L183)</f>
        <v>1</v>
      </c>
      <c r="N183" s="40" t="str">
        <f aca="false">IF(M183&gt;0,"Ada","Tidak Ada")</f>
        <v>Ada</v>
      </c>
      <c r="O183" s="41" t="n">
        <f aca="false">IF(M183&gt;0,MIN(J183:L183),"-")</f>
        <v>458412</v>
      </c>
      <c r="P183" s="41" t="n">
        <f aca="false">IF(M183&gt;0,AVERAGE(J183:L183),"-")</f>
        <v>458412</v>
      </c>
      <c r="Q183" s="41" t="n">
        <f aca="false">IF(M183&gt;0,O183-G183,"-")</f>
        <v>62367</v>
      </c>
      <c r="R183" s="42" t="n">
        <f aca="false">IF(M183&gt;0,IFERROR(Q183/O183,"-"),"-")</f>
        <v>0.136050103400435</v>
      </c>
      <c r="S183" s="41" t="n">
        <f aca="false">IF(M183&gt;0,ROUND(MAX(G183*1.08,O183*0.97)/100,0)*100,ROUND(G183*1.12/100,0)*100)</f>
        <v>444700</v>
      </c>
      <c r="T183" s="42" t="n">
        <f aca="false">IFERROR((S183-G183)/S183,"-")</f>
        <v>0.109410838767709</v>
      </c>
    </row>
    <row r="184" customFormat="false" ht="15" hidden="false" customHeight="false" outlineLevel="0" collapsed="false">
      <c r="A184" s="8" t="s">
        <v>1550</v>
      </c>
      <c r="B184" s="8" t="s">
        <v>1592</v>
      </c>
      <c r="C184" s="8" t="s">
        <v>1593</v>
      </c>
      <c r="D184" s="8" t="s">
        <v>30</v>
      </c>
      <c r="E184" s="8" t="n">
        <v>600000</v>
      </c>
      <c r="F184" s="38" t="n">
        <f aca="false">IFERROR(VALUE(SUBSTITUTE(SUBSTITUTE('Steam Wallet  INDOFLAZ'!E9,"Rp. ",""),".","")),'Steam Wallet  INDOFLAZ'!E9)</f>
        <v>594659</v>
      </c>
      <c r="G184" s="38" t="n">
        <f aca="false">IFERROR(VALUE(SUBSTITUTE(SUBSTITUTE('Steam Wallet  INDOFLAZ'!F9,"Rp. ",""),".","")),'Steam Wallet  INDOFLAZ'!F9)</f>
        <v>589659</v>
      </c>
      <c r="H184" s="38" t="n">
        <f aca="false">IFERROR(VALUE(SUBSTITUTE(SUBSTITUTE('Steam Wallet  INDOFLAZ'!G9,"Rp. ",""),".","")),'Steam Wallet  INDOFLAZ'!G9)</f>
        <v>586659</v>
      </c>
      <c r="I184" s="8" t="s">
        <v>2637</v>
      </c>
      <c r="J184" s="38" t="n">
        <f aca="false">'Steam Wallet OURA STORE'!A16</f>
        <v>687616</v>
      </c>
      <c r="K184" s="39"/>
      <c r="L184" s="39"/>
      <c r="M184" s="8" t="n">
        <f aca="false">COUNT(J184:L184)</f>
        <v>1</v>
      </c>
      <c r="N184" s="40" t="str">
        <f aca="false">IF(M184&gt;0,"Ada","Tidak Ada")</f>
        <v>Ada</v>
      </c>
      <c r="O184" s="41" t="n">
        <f aca="false">IF(M184&gt;0,MIN(J184:L184),"-")</f>
        <v>687616</v>
      </c>
      <c r="P184" s="41" t="n">
        <f aca="false">IF(M184&gt;0,AVERAGE(J184:L184),"-")</f>
        <v>687616</v>
      </c>
      <c r="Q184" s="41" t="n">
        <f aca="false">IF(M184&gt;0,O184-G184,"-")</f>
        <v>97957</v>
      </c>
      <c r="R184" s="42" t="n">
        <f aca="false">IF(M184&gt;0,IFERROR(Q184/O184,"-"),"-")</f>
        <v>0.142458872393894</v>
      </c>
      <c r="S184" s="41" t="n">
        <f aca="false">IF(M184&gt;0,ROUND(MAX(G184*1.08,O184*0.97)/100,0)*100,ROUND(G184*1.12/100,0)*100)</f>
        <v>667000</v>
      </c>
      <c r="T184" s="42" t="n">
        <f aca="false">IFERROR((S184-G184)/S184,"-")</f>
        <v>0.115953523238381</v>
      </c>
    </row>
    <row r="185" customFormat="false" ht="15" hidden="false" customHeight="false" outlineLevel="0" collapsed="false">
      <c r="A185" s="8" t="s">
        <v>1607</v>
      </c>
      <c r="B185" s="8" t="s">
        <v>1606</v>
      </c>
      <c r="C185" s="8" t="s">
        <v>1608</v>
      </c>
      <c r="D185" s="8" t="s">
        <v>31</v>
      </c>
      <c r="E185" s="8" t="n">
        <v>1</v>
      </c>
      <c r="F185" s="38" t="n">
        <f aca="false">IFERROR(VALUE(SUBSTITUTE(SUBSTITUTE('Spotify Premium Subscription Vo'!E2,"Rp. ",""),".","")),'Spotify Premium Subscription Vo'!E2)</f>
        <v>56570</v>
      </c>
      <c r="G185" s="38" t="n">
        <f aca="false">IFERROR(VALUE(SUBSTITUTE(SUBSTITUTE('Spotify Premium Subscription Vo'!F2,"Rp. ",""),".","")),'Spotify Premium Subscription Vo'!F2)</f>
        <v>56370</v>
      </c>
      <c r="H185" s="38" t="n">
        <f aca="false">IFERROR(VALUE(SUBSTITUTE(SUBSTITUTE('Spotify Premium Subscription Vo'!G2,"Rp. ",""),".","")),'Spotify Premium Subscription Vo'!G2)</f>
        <v>56170</v>
      </c>
      <c r="I185" s="8" t="s">
        <v>2625</v>
      </c>
      <c r="J185" s="39"/>
      <c r="K185" s="39"/>
      <c r="L185" s="39"/>
      <c r="M185" s="8" t="n">
        <f aca="false">COUNT(J185:L185)</f>
        <v>0</v>
      </c>
      <c r="N185" s="40" t="str">
        <f aca="false">IF(M185&gt;0,"Ada","Tidak Ada")</f>
        <v>Tidak Ada</v>
      </c>
      <c r="O185" s="41" t="str">
        <f aca="false">IF(M185&gt;0,MIN(J185:L185),"-")</f>
        <v>-</v>
      </c>
      <c r="P185" s="41" t="str">
        <f aca="false">IF(M185&gt;0,AVERAGE(J185:L185),"-")</f>
        <v>-</v>
      </c>
      <c r="Q185" s="41" t="str">
        <f aca="false">IF(M185&gt;0,O185-G185,"-")</f>
        <v>-</v>
      </c>
      <c r="R185" s="42" t="str">
        <f aca="false">IF(M185&gt;0,IFERROR(Q185/O185,"-"),"-")</f>
        <v>-</v>
      </c>
      <c r="S185" s="41" t="n">
        <f aca="false">IF(M185&gt;0,ROUND(MAX(G185*1.08,O185*0.97)/100,0)*100,ROUND(G185*1.12/100,0)*100)</f>
        <v>63100</v>
      </c>
      <c r="T185" s="42" t="n">
        <f aca="false">IFERROR((S185-G185)/S185,"-")</f>
        <v>0.106656101426307</v>
      </c>
    </row>
    <row r="186" customFormat="false" ht="15" hidden="false" customHeight="false" outlineLevel="0" collapsed="false">
      <c r="A186" s="8" t="s">
        <v>1607</v>
      </c>
      <c r="B186" s="8" t="s">
        <v>1613</v>
      </c>
      <c r="C186" s="8" t="s">
        <v>1614</v>
      </c>
      <c r="D186" s="8" t="s">
        <v>31</v>
      </c>
      <c r="E186" s="8" t="n">
        <v>3</v>
      </c>
      <c r="F186" s="38" t="n">
        <f aca="false">IFERROR(VALUE(SUBSTITUTE(SUBSTITUTE('Spotify Premium Subscription Vo'!E3,"Rp. ",""),".","")),'Spotify Premium Subscription Vo'!E3)</f>
        <v>165825</v>
      </c>
      <c r="G186" s="38" t="n">
        <f aca="false">IFERROR(VALUE(SUBSTITUTE(SUBSTITUTE('Spotify Premium Subscription Vo'!F3,"Rp. ",""),".","")),'Spotify Premium Subscription Vo'!F3)</f>
        <v>165625</v>
      </c>
      <c r="H186" s="38" t="n">
        <f aca="false">IFERROR(VALUE(SUBSTITUTE(SUBSTITUTE('Spotify Premium Subscription Vo'!G3,"Rp. ",""),".","")),'Spotify Premium Subscription Vo'!G3)</f>
        <v>165425</v>
      </c>
      <c r="I186" s="8" t="s">
        <v>2625</v>
      </c>
      <c r="J186" s="39"/>
      <c r="K186" s="39"/>
      <c r="L186" s="39"/>
      <c r="M186" s="8" t="n">
        <f aca="false">COUNT(J186:L186)</f>
        <v>0</v>
      </c>
      <c r="N186" s="40" t="str">
        <f aca="false">IF(M186&gt;0,"Ada","Tidak Ada")</f>
        <v>Tidak Ada</v>
      </c>
      <c r="O186" s="41" t="str">
        <f aca="false">IF(M186&gt;0,MIN(J186:L186),"-")</f>
        <v>-</v>
      </c>
      <c r="P186" s="41" t="str">
        <f aca="false">IF(M186&gt;0,AVERAGE(J186:L186),"-")</f>
        <v>-</v>
      </c>
      <c r="Q186" s="41" t="str">
        <f aca="false">IF(M186&gt;0,O186-G186,"-")</f>
        <v>-</v>
      </c>
      <c r="R186" s="42" t="str">
        <f aca="false">IF(M186&gt;0,IFERROR(Q186/O186,"-"),"-")</f>
        <v>-</v>
      </c>
      <c r="S186" s="41" t="n">
        <f aca="false">IF(M186&gt;0,ROUND(MAX(G186*1.08,O186*0.97)/100,0)*100,ROUND(G186*1.12/100,0)*100)</f>
        <v>185500</v>
      </c>
      <c r="T186" s="42" t="n">
        <f aca="false">IFERROR((S186-G186)/S186,"-")</f>
        <v>0.107142857142857</v>
      </c>
    </row>
    <row r="187" customFormat="false" ht="15" hidden="false" customHeight="false" outlineLevel="0" collapsed="false">
      <c r="A187" s="8" t="s">
        <v>1607</v>
      </c>
      <c r="B187" s="8" t="s">
        <v>1619</v>
      </c>
      <c r="C187" s="8" t="s">
        <v>1620</v>
      </c>
      <c r="D187" s="8" t="s">
        <v>31</v>
      </c>
      <c r="E187" s="8" t="n">
        <v>6</v>
      </c>
      <c r="F187" s="38" t="n">
        <f aca="false">IFERROR(VALUE(SUBSTITUTE(SUBSTITUTE('Spotify Premium Subscription Vo'!E4,"Rp. ",""),".","")),'Spotify Premium Subscription Vo'!E4)</f>
        <v>303425</v>
      </c>
      <c r="G187" s="38" t="n">
        <f aca="false">IFERROR(VALUE(SUBSTITUTE(SUBSTITUTE('Spotify Premium Subscription Vo'!F4,"Rp. ",""),".","")),'Spotify Premium Subscription Vo'!F4)</f>
        <v>303225</v>
      </c>
      <c r="H187" s="38" t="n">
        <f aca="false">IFERROR(VALUE(SUBSTITUTE(SUBSTITUTE('Spotify Premium Subscription Vo'!G4,"Rp. ",""),".","")),'Spotify Premium Subscription Vo'!G4)</f>
        <v>303025</v>
      </c>
      <c r="I187" s="8" t="s">
        <v>2625</v>
      </c>
      <c r="J187" s="39"/>
      <c r="K187" s="39"/>
      <c r="L187" s="39"/>
      <c r="M187" s="8" t="n">
        <f aca="false">COUNT(J187:L187)</f>
        <v>0</v>
      </c>
      <c r="N187" s="40" t="str">
        <f aca="false">IF(M187&gt;0,"Ada","Tidak Ada")</f>
        <v>Tidak Ada</v>
      </c>
      <c r="O187" s="41" t="str">
        <f aca="false">IF(M187&gt;0,MIN(J187:L187),"-")</f>
        <v>-</v>
      </c>
      <c r="P187" s="41" t="str">
        <f aca="false">IF(M187&gt;0,AVERAGE(J187:L187),"-")</f>
        <v>-</v>
      </c>
      <c r="Q187" s="41" t="str">
        <f aca="false">IF(M187&gt;0,O187-G187,"-")</f>
        <v>-</v>
      </c>
      <c r="R187" s="42" t="str">
        <f aca="false">IF(M187&gt;0,IFERROR(Q187/O187,"-"),"-")</f>
        <v>-</v>
      </c>
      <c r="S187" s="41" t="n">
        <f aca="false">IF(M187&gt;0,ROUND(MAX(G187*1.08,O187*0.97)/100,0)*100,ROUND(G187*1.12/100,0)*100)</f>
        <v>339600</v>
      </c>
      <c r="T187" s="42" t="n">
        <f aca="false">IFERROR((S187-G187)/S187,"-")</f>
        <v>0.107111307420495</v>
      </c>
    </row>
    <row r="188" customFormat="false" ht="15" hidden="false" customHeight="false" outlineLevel="0" collapsed="false">
      <c r="A188" s="8" t="s">
        <v>32</v>
      </c>
      <c r="B188" s="8" t="s">
        <v>1625</v>
      </c>
      <c r="C188" s="8" t="s">
        <v>1626</v>
      </c>
      <c r="D188" s="8" t="s">
        <v>32</v>
      </c>
      <c r="E188" s="8" t="n">
        <v>10</v>
      </c>
      <c r="F188" s="38" t="n">
        <f aca="false">IFERROR(VALUE(SUBSTITUTE(SUBSTITUTE('Nintendo Eshop'!E2,"Rp. ",""),".","")),'Nintendo Eshop'!E2)</f>
        <v>137092</v>
      </c>
      <c r="G188" s="38" t="n">
        <f aca="false">IFERROR(VALUE(SUBSTITUTE(SUBSTITUTE('Nintendo Eshop'!F2,"Rp. ",""),".","")),'Nintendo Eshop'!F2)</f>
        <v>136892</v>
      </c>
      <c r="H188" s="38" t="n">
        <f aca="false">IFERROR(VALUE(SUBSTITUTE(SUBSTITUTE('Nintendo Eshop'!G2,"Rp. ",""),".","")),'Nintendo Eshop'!G2)</f>
        <v>136692</v>
      </c>
      <c r="I188" s="8" t="s">
        <v>2625</v>
      </c>
      <c r="J188" s="39"/>
      <c r="K188" s="39"/>
      <c r="L188" s="39"/>
      <c r="M188" s="8" t="n">
        <f aca="false">COUNT(J188:L188)</f>
        <v>0</v>
      </c>
      <c r="N188" s="40" t="str">
        <f aca="false">IF(M188&gt;0,"Ada","Tidak Ada")</f>
        <v>Tidak Ada</v>
      </c>
      <c r="O188" s="41" t="str">
        <f aca="false">IF(M188&gt;0,MIN(J188:L188),"-")</f>
        <v>-</v>
      </c>
      <c r="P188" s="41" t="str">
        <f aca="false">IF(M188&gt;0,AVERAGE(J188:L188),"-")</f>
        <v>-</v>
      </c>
      <c r="Q188" s="41" t="str">
        <f aca="false">IF(M188&gt;0,O188-G188,"-")</f>
        <v>-</v>
      </c>
      <c r="R188" s="42" t="str">
        <f aca="false">IF(M188&gt;0,IFERROR(Q188/O188,"-"),"-")</f>
        <v>-</v>
      </c>
      <c r="S188" s="41" t="n">
        <f aca="false">IF(M188&gt;0,ROUND(MAX(G188*1.08,O188*0.97)/100,0)*100,ROUND(G188*1.12/100,0)*100)</f>
        <v>153300</v>
      </c>
      <c r="T188" s="42" t="n">
        <f aca="false">IFERROR((S188-G188)/S188,"-")</f>
        <v>0.10703196347032</v>
      </c>
    </row>
    <row r="189" customFormat="false" ht="15" hidden="false" customHeight="false" outlineLevel="0" collapsed="false">
      <c r="A189" s="8" t="s">
        <v>32</v>
      </c>
      <c r="B189" s="8" t="s">
        <v>1631</v>
      </c>
      <c r="C189" s="8" t="s">
        <v>1632</v>
      </c>
      <c r="D189" s="8" t="s">
        <v>32</v>
      </c>
      <c r="E189" s="8" t="n">
        <v>50</v>
      </c>
      <c r="F189" s="38" t="n">
        <f aca="false">IFERROR(VALUE(SUBSTITUTE(SUBSTITUTE('Nintendo Eshop'!E3,"Rp. ",""),".","")),'Nintendo Eshop'!E3)</f>
        <v>675332</v>
      </c>
      <c r="G189" s="38" t="n">
        <f aca="false">IFERROR(VALUE(SUBSTITUTE(SUBSTITUTE('Nintendo Eshop'!F3,"Rp. ",""),".","")),'Nintendo Eshop'!F3)</f>
        <v>675132</v>
      </c>
      <c r="H189" s="38" t="n">
        <f aca="false">IFERROR(VALUE(SUBSTITUTE(SUBSTITUTE('Nintendo Eshop'!G3,"Rp. ",""),".","")),'Nintendo Eshop'!G3)</f>
        <v>674932</v>
      </c>
      <c r="I189" s="8" t="s">
        <v>2625</v>
      </c>
      <c r="J189" s="39"/>
      <c r="K189" s="39"/>
      <c r="L189" s="39"/>
      <c r="M189" s="8" t="n">
        <f aca="false">COUNT(J189:L189)</f>
        <v>0</v>
      </c>
      <c r="N189" s="40" t="str">
        <f aca="false">IF(M189&gt;0,"Ada","Tidak Ada")</f>
        <v>Tidak Ada</v>
      </c>
      <c r="O189" s="41" t="str">
        <f aca="false">IF(M189&gt;0,MIN(J189:L189),"-")</f>
        <v>-</v>
      </c>
      <c r="P189" s="41" t="str">
        <f aca="false">IF(M189&gt;0,AVERAGE(J189:L189),"-")</f>
        <v>-</v>
      </c>
      <c r="Q189" s="41" t="str">
        <f aca="false">IF(M189&gt;0,O189-G189,"-")</f>
        <v>-</v>
      </c>
      <c r="R189" s="42" t="str">
        <f aca="false">IF(M189&gt;0,IFERROR(Q189/O189,"-"),"-")</f>
        <v>-</v>
      </c>
      <c r="S189" s="41" t="n">
        <f aca="false">IF(M189&gt;0,ROUND(MAX(G189*1.08,O189*0.97)/100,0)*100,ROUND(G189*1.12/100,0)*100)</f>
        <v>756100</v>
      </c>
      <c r="T189" s="42" t="n">
        <f aca="false">IFERROR((S189-G189)/S189,"-")</f>
        <v>0.107086364237535</v>
      </c>
    </row>
    <row r="190" customFormat="false" ht="15" hidden="false" customHeight="false" outlineLevel="0" collapsed="false">
      <c r="A190" s="8" t="s">
        <v>1638</v>
      </c>
      <c r="B190" s="8" t="s">
        <v>1637</v>
      </c>
      <c r="C190" s="8" t="s">
        <v>1639</v>
      </c>
      <c r="D190" s="8" t="s">
        <v>33</v>
      </c>
      <c r="E190" s="8" t="n">
        <v>30</v>
      </c>
      <c r="F190" s="38" t="n">
        <f aca="false">IFERROR(VALUE(SUBSTITUTE(SUBSTITUTE('Vidio INDOFLAZ'!E2,"Rp. ",""),".","")),'Vidio INDOFLAZ'!E2)</f>
        <v>24600</v>
      </c>
      <c r="G190" s="38" t="n">
        <f aca="false">IFERROR(VALUE(SUBSTITUTE(SUBSTITUTE('Vidio INDOFLAZ'!F2,"Rp. ",""),".","")),'Vidio INDOFLAZ'!F2)</f>
        <v>24400</v>
      </c>
      <c r="H190" s="38" t="n">
        <f aca="false">IFERROR(VALUE(SUBSTITUTE(SUBSTITUTE('Vidio INDOFLAZ'!G2,"Rp. ",""),".","")),'Vidio INDOFLAZ'!G2)</f>
        <v>24200</v>
      </c>
      <c r="I190" s="8" t="s">
        <v>2638</v>
      </c>
      <c r="J190" s="38" t="n">
        <f aca="false">'Vidio OURA STORE'!A4</f>
        <v>142212</v>
      </c>
      <c r="K190" s="38" t="n">
        <f aca="false">'Vidio OURA STORE'!A11</f>
        <v>41475</v>
      </c>
      <c r="L190" s="38" t="n">
        <f aca="false">'Vidio OURA STORE'!A13</f>
        <v>60327</v>
      </c>
      <c r="M190" s="8" t="n">
        <f aca="false">COUNT(J190:L190)</f>
        <v>3</v>
      </c>
      <c r="N190" s="40" t="str">
        <f aca="false">IF(M190&gt;0,"Ada","Tidak Ada")</f>
        <v>Ada</v>
      </c>
      <c r="O190" s="41" t="n">
        <f aca="false">IF(M190&gt;0,MIN(J190:L190),"-")</f>
        <v>41475</v>
      </c>
      <c r="P190" s="41" t="n">
        <f aca="false">IF(M190&gt;0,AVERAGE(J190:L190),"-")</f>
        <v>81338</v>
      </c>
      <c r="Q190" s="41" t="n">
        <f aca="false">IF(M190&gt;0,O190-G190,"-")</f>
        <v>17075</v>
      </c>
      <c r="R190" s="42" t="n">
        <f aca="false">IF(M190&gt;0,IFERROR(Q190/O190,"-"),"-")</f>
        <v>0.411693791440627</v>
      </c>
      <c r="S190" s="41" t="n">
        <f aca="false">IF(M190&gt;0,ROUND(MAX(G190*1.08,O190*0.97)/100,0)*100,ROUND(G190*1.12/100,0)*100)</f>
        <v>40200</v>
      </c>
      <c r="T190" s="42" t="n">
        <f aca="false">IFERROR((S190-G190)/S190,"-")</f>
        <v>0.393034825870647</v>
      </c>
    </row>
    <row r="191" customFormat="false" ht="15" hidden="false" customHeight="false" outlineLevel="0" collapsed="false">
      <c r="A191" s="8" t="s">
        <v>1638</v>
      </c>
      <c r="B191" s="8" t="s">
        <v>1643</v>
      </c>
      <c r="C191" s="8" t="s">
        <v>1644</v>
      </c>
      <c r="D191" s="8" t="s">
        <v>33</v>
      </c>
      <c r="E191" s="8" t="n">
        <v>17</v>
      </c>
      <c r="F191" s="38" t="n">
        <f aca="false">IFERROR(VALUE(SUBSTITUTE(SUBSTITUTE('Vidio INDOFLAZ'!E3,"Rp. ",""),".","")),'Vidio INDOFLAZ'!E3)</f>
        <v>37800</v>
      </c>
      <c r="G191" s="38" t="n">
        <f aca="false">IFERROR(VALUE(SUBSTITUTE(SUBSTITUTE('Vidio INDOFLAZ'!F3,"Rp. ",""),".","")),'Vidio INDOFLAZ'!F3)</f>
        <v>37600</v>
      </c>
      <c r="H191" s="38" t="n">
        <f aca="false">IFERROR(VALUE(SUBSTITUTE(SUBSTITUTE('Vidio INDOFLAZ'!G3,"Rp. ",""),".","")),'Vidio INDOFLAZ'!G3)</f>
        <v>37400</v>
      </c>
      <c r="I191" s="8" t="s">
        <v>2625</v>
      </c>
      <c r="J191" s="39"/>
      <c r="K191" s="39"/>
      <c r="L191" s="39"/>
      <c r="M191" s="8" t="n">
        <f aca="false">COUNT(J191:L191)</f>
        <v>0</v>
      </c>
      <c r="N191" s="40" t="str">
        <f aca="false">IF(M191&gt;0,"Ada","Tidak Ada")</f>
        <v>Tidak Ada</v>
      </c>
      <c r="O191" s="41" t="str">
        <f aca="false">IF(M191&gt;0,MIN(J191:L191),"-")</f>
        <v>-</v>
      </c>
      <c r="P191" s="41" t="str">
        <f aca="false">IF(M191&gt;0,AVERAGE(J191:L191),"-")</f>
        <v>-</v>
      </c>
      <c r="Q191" s="41" t="str">
        <f aca="false">IF(M191&gt;0,O191-G191,"-")</f>
        <v>-</v>
      </c>
      <c r="R191" s="42" t="str">
        <f aca="false">IF(M191&gt;0,IFERROR(Q191/O191,"-"),"-")</f>
        <v>-</v>
      </c>
      <c r="S191" s="41" t="n">
        <f aca="false">IF(M191&gt;0,ROUND(MAX(G191*1.08,O191*0.97)/100,0)*100,ROUND(G191*1.12/100,0)*100)</f>
        <v>42100</v>
      </c>
      <c r="T191" s="42" t="n">
        <f aca="false">IFERROR((S191-G191)/S191,"-")</f>
        <v>0.106888361045131</v>
      </c>
    </row>
    <row r="192" customFormat="false" ht="15" hidden="false" customHeight="false" outlineLevel="0" collapsed="false">
      <c r="A192" s="8" t="s">
        <v>1638</v>
      </c>
      <c r="B192" s="8" t="s">
        <v>1649</v>
      </c>
      <c r="C192" s="8" t="s">
        <v>1650</v>
      </c>
      <c r="D192" s="8" t="s">
        <v>33</v>
      </c>
      <c r="E192" s="8" t="n">
        <v>30</v>
      </c>
      <c r="F192" s="38" t="n">
        <f aca="false">IFERROR(VALUE(SUBSTITUTE(SUBSTITUTE('Vidio INDOFLAZ'!E4,"Rp. ",""),".","")),'Vidio INDOFLAZ'!E4)</f>
        <v>44700</v>
      </c>
      <c r="G192" s="38" t="n">
        <f aca="false">IFERROR(VALUE(SUBSTITUTE(SUBSTITUTE('Vidio INDOFLAZ'!F4,"Rp. ",""),".","")),'Vidio INDOFLAZ'!F4)</f>
        <v>44500</v>
      </c>
      <c r="H192" s="38" t="n">
        <f aca="false">IFERROR(VALUE(SUBSTITUTE(SUBSTITUTE('Vidio INDOFLAZ'!G4,"Rp. ",""),".","")),'Vidio INDOFLAZ'!G4)</f>
        <v>44300</v>
      </c>
      <c r="I192" s="8" t="s">
        <v>2638</v>
      </c>
      <c r="J192" s="38" t="n">
        <f aca="false">'Vidio OURA STORE'!A4</f>
        <v>142212</v>
      </c>
      <c r="K192" s="38" t="n">
        <f aca="false">'Vidio OURA STORE'!A11</f>
        <v>41475</v>
      </c>
      <c r="L192" s="38" t="n">
        <f aca="false">'Vidio OURA STORE'!A13</f>
        <v>60327</v>
      </c>
      <c r="M192" s="8" t="n">
        <f aca="false">COUNT(J192:L192)</f>
        <v>3</v>
      </c>
      <c r="N192" s="40" t="str">
        <f aca="false">IF(M192&gt;0,"Ada","Tidak Ada")</f>
        <v>Ada</v>
      </c>
      <c r="O192" s="41" t="n">
        <f aca="false">IF(M192&gt;0,MIN(J192:L192),"-")</f>
        <v>41475</v>
      </c>
      <c r="P192" s="41" t="n">
        <f aca="false">IF(M192&gt;0,AVERAGE(J192:L192),"-")</f>
        <v>81338</v>
      </c>
      <c r="Q192" s="41" t="n">
        <f aca="false">IF(M192&gt;0,O192-G192,"-")</f>
        <v>-3025</v>
      </c>
      <c r="R192" s="42" t="n">
        <f aca="false">IF(M192&gt;0,IFERROR(Q192/O192,"-"),"-")</f>
        <v>-0.0729355033152501</v>
      </c>
      <c r="S192" s="41" t="n">
        <f aca="false">IF(M192&gt;0,ROUND(MAX(G192*1.08,O192*0.97)/100,0)*100,ROUND(G192*1.12/100,0)*100)</f>
        <v>48100</v>
      </c>
      <c r="T192" s="42" t="n">
        <f aca="false">IFERROR((S192-G192)/S192,"-")</f>
        <v>0.0748440748440749</v>
      </c>
    </row>
    <row r="193" customFormat="false" ht="15" hidden="false" customHeight="false" outlineLevel="0" collapsed="false">
      <c r="A193" s="8" t="s">
        <v>1638</v>
      </c>
      <c r="B193" s="8" t="s">
        <v>1655</v>
      </c>
      <c r="C193" s="8" t="s">
        <v>1656</v>
      </c>
      <c r="D193" s="8" t="s">
        <v>33</v>
      </c>
      <c r="E193" s="8" t="n">
        <v>30</v>
      </c>
      <c r="F193" s="38" t="n">
        <f aca="false">IFERROR(VALUE(SUBSTITUTE(SUBSTITUTE('Vidio INDOFLAZ'!E5,"Rp. ",""),".","")),'Vidio INDOFLAZ'!E5)</f>
        <v>47300</v>
      </c>
      <c r="G193" s="38" t="n">
        <f aca="false">IFERROR(VALUE(SUBSTITUTE(SUBSTITUTE('Vidio INDOFLAZ'!F5,"Rp. ",""),".","")),'Vidio INDOFLAZ'!F5)</f>
        <v>47100</v>
      </c>
      <c r="H193" s="38" t="n">
        <f aca="false">IFERROR(VALUE(SUBSTITUTE(SUBSTITUTE('Vidio INDOFLAZ'!G5,"Rp. ",""),".","")),'Vidio INDOFLAZ'!G5)</f>
        <v>46900</v>
      </c>
      <c r="I193" s="8" t="s">
        <v>2638</v>
      </c>
      <c r="J193" s="38" t="n">
        <f aca="false">'Vidio OURA STORE'!A4</f>
        <v>142212</v>
      </c>
      <c r="K193" s="38" t="n">
        <f aca="false">'Vidio OURA STORE'!A11</f>
        <v>41475</v>
      </c>
      <c r="L193" s="38" t="n">
        <f aca="false">'Vidio OURA STORE'!A13</f>
        <v>60327</v>
      </c>
      <c r="M193" s="8" t="n">
        <f aca="false">COUNT(J193:L193)</f>
        <v>3</v>
      </c>
      <c r="N193" s="40" t="str">
        <f aca="false">IF(M193&gt;0,"Ada","Tidak Ada")</f>
        <v>Ada</v>
      </c>
      <c r="O193" s="41" t="n">
        <f aca="false">IF(M193&gt;0,MIN(J193:L193),"-")</f>
        <v>41475</v>
      </c>
      <c r="P193" s="41" t="n">
        <f aca="false">IF(M193&gt;0,AVERAGE(J193:L193),"-")</f>
        <v>81338</v>
      </c>
      <c r="Q193" s="41" t="n">
        <f aca="false">IF(M193&gt;0,O193-G193,"-")</f>
        <v>-5625</v>
      </c>
      <c r="R193" s="42" t="n">
        <f aca="false">IF(M193&gt;0,IFERROR(Q193/O193,"-"),"-")</f>
        <v>-0.135623869801085</v>
      </c>
      <c r="S193" s="41" t="n">
        <f aca="false">IF(M193&gt;0,ROUND(MAX(G193*1.08,O193*0.97)/100,0)*100,ROUND(G193*1.12/100,0)*100)</f>
        <v>50900</v>
      </c>
      <c r="T193" s="42" t="n">
        <f aca="false">IFERROR((S193-G193)/S193,"-")</f>
        <v>0.0746561886051081</v>
      </c>
    </row>
    <row r="194" customFormat="false" ht="15" hidden="false" customHeight="false" outlineLevel="0" collapsed="false">
      <c r="A194" s="8" t="s">
        <v>1638</v>
      </c>
      <c r="B194" s="8" t="s">
        <v>1661</v>
      </c>
      <c r="C194" s="8" t="s">
        <v>1656</v>
      </c>
      <c r="D194" s="8" t="s">
        <v>33</v>
      </c>
      <c r="E194" s="8" t="n">
        <v>30</v>
      </c>
      <c r="F194" s="38" t="n">
        <f aca="false">IFERROR(VALUE(SUBSTITUTE(SUBSTITUTE('Vidio INDOFLAZ'!E6,"Rp. ",""),".","")),'Vidio INDOFLAZ'!E6)</f>
        <v>48635</v>
      </c>
      <c r="G194" s="38" t="n">
        <f aca="false">IFERROR(VALUE(SUBSTITUTE(SUBSTITUTE('Vidio INDOFLAZ'!F6,"Rp. ",""),".","")),'Vidio INDOFLAZ'!F6)</f>
        <v>48435</v>
      </c>
      <c r="H194" s="38" t="n">
        <f aca="false">IFERROR(VALUE(SUBSTITUTE(SUBSTITUTE('Vidio INDOFLAZ'!G6,"Rp. ",""),".","")),'Vidio INDOFLAZ'!G6)</f>
        <v>48235</v>
      </c>
      <c r="I194" s="8" t="s">
        <v>2638</v>
      </c>
      <c r="J194" s="38" t="n">
        <f aca="false">'Vidio OURA STORE'!A4</f>
        <v>142212</v>
      </c>
      <c r="K194" s="38" t="n">
        <f aca="false">'Vidio OURA STORE'!A11</f>
        <v>41475</v>
      </c>
      <c r="L194" s="38" t="n">
        <f aca="false">'Vidio OURA STORE'!A13</f>
        <v>60327</v>
      </c>
      <c r="M194" s="8" t="n">
        <f aca="false">COUNT(J194:L194)</f>
        <v>3</v>
      </c>
      <c r="N194" s="40" t="str">
        <f aca="false">IF(M194&gt;0,"Ada","Tidak Ada")</f>
        <v>Ada</v>
      </c>
      <c r="O194" s="41" t="n">
        <f aca="false">IF(M194&gt;0,MIN(J194:L194),"-")</f>
        <v>41475</v>
      </c>
      <c r="P194" s="41" t="n">
        <f aca="false">IF(M194&gt;0,AVERAGE(J194:L194),"-")</f>
        <v>81338</v>
      </c>
      <c r="Q194" s="41" t="n">
        <f aca="false">IF(M194&gt;0,O194-G194,"-")</f>
        <v>-6960</v>
      </c>
      <c r="R194" s="42" t="n">
        <f aca="false">IF(M194&gt;0,IFERROR(Q194/O194,"-"),"-")</f>
        <v>-0.167811934900543</v>
      </c>
      <c r="S194" s="41" t="n">
        <f aca="false">IF(M194&gt;0,ROUND(MAX(G194*1.08,O194*0.97)/100,0)*100,ROUND(G194*1.12/100,0)*100)</f>
        <v>52300</v>
      </c>
      <c r="T194" s="42" t="n">
        <f aca="false">IFERROR((S194-G194)/S194,"-")</f>
        <v>0.0739005736137667</v>
      </c>
    </row>
    <row r="195" customFormat="false" ht="15" hidden="false" customHeight="false" outlineLevel="0" collapsed="false">
      <c r="A195" s="8" t="s">
        <v>1638</v>
      </c>
      <c r="B195" s="8" t="s">
        <v>1666</v>
      </c>
      <c r="C195" s="8" t="s">
        <v>1667</v>
      </c>
      <c r="D195" s="8" t="s">
        <v>33</v>
      </c>
      <c r="E195" s="8" t="n">
        <v>30</v>
      </c>
      <c r="F195" s="38" t="n">
        <f aca="false">IFERROR(VALUE(SUBSTITUTE(SUBSTITUTE('Vidio INDOFLAZ'!E7,"Rp. ",""),".","")),'Vidio INDOFLAZ'!E7)</f>
        <v>95100</v>
      </c>
      <c r="G195" s="38" t="n">
        <f aca="false">IFERROR(VALUE(SUBSTITUTE(SUBSTITUTE('Vidio INDOFLAZ'!F7,"Rp. ",""),".","")),'Vidio INDOFLAZ'!F7)</f>
        <v>94900</v>
      </c>
      <c r="H195" s="38" t="n">
        <f aca="false">IFERROR(VALUE(SUBSTITUTE(SUBSTITUTE('Vidio INDOFLAZ'!G7,"Rp. ",""),".","")),'Vidio INDOFLAZ'!G7)</f>
        <v>94700</v>
      </c>
      <c r="I195" s="8" t="s">
        <v>2638</v>
      </c>
      <c r="J195" s="38" t="n">
        <f aca="false">'Vidio OURA STORE'!A4</f>
        <v>142212</v>
      </c>
      <c r="K195" s="38" t="n">
        <f aca="false">'Vidio OURA STORE'!A11</f>
        <v>41475</v>
      </c>
      <c r="L195" s="38" t="n">
        <f aca="false">'Vidio OURA STORE'!A13</f>
        <v>60327</v>
      </c>
      <c r="M195" s="8" t="n">
        <f aca="false">COUNT(J195:L195)</f>
        <v>3</v>
      </c>
      <c r="N195" s="40" t="str">
        <f aca="false">IF(M195&gt;0,"Ada","Tidak Ada")</f>
        <v>Ada</v>
      </c>
      <c r="O195" s="41" t="n">
        <f aca="false">IF(M195&gt;0,MIN(J195:L195),"-")</f>
        <v>41475</v>
      </c>
      <c r="P195" s="41" t="n">
        <f aca="false">IF(M195&gt;0,AVERAGE(J195:L195),"-")</f>
        <v>81338</v>
      </c>
      <c r="Q195" s="41" t="n">
        <f aca="false">IF(M195&gt;0,O195-G195,"-")</f>
        <v>-53425</v>
      </c>
      <c r="R195" s="42" t="n">
        <f aca="false">IF(M195&gt;0,IFERROR(Q195/O195,"-"),"-")</f>
        <v>-1.28812537673297</v>
      </c>
      <c r="S195" s="41" t="n">
        <f aca="false">IF(M195&gt;0,ROUND(MAX(G195*1.08,O195*0.97)/100,0)*100,ROUND(G195*1.12/100,0)*100)</f>
        <v>102500</v>
      </c>
      <c r="T195" s="42" t="n">
        <f aca="false">IFERROR((S195-G195)/S195,"-")</f>
        <v>0.0741463414634146</v>
      </c>
    </row>
    <row r="196" customFormat="false" ht="15" hidden="false" customHeight="false" outlineLevel="0" collapsed="false">
      <c r="A196" s="8" t="s">
        <v>1638</v>
      </c>
      <c r="B196" s="8" t="s">
        <v>1671</v>
      </c>
      <c r="C196" s="8" t="s">
        <v>1667</v>
      </c>
      <c r="D196" s="8" t="s">
        <v>33</v>
      </c>
      <c r="E196" s="8" t="n">
        <v>30</v>
      </c>
      <c r="F196" s="38" t="n">
        <f aca="false">IFERROR(VALUE(SUBSTITUTE(SUBSTITUTE('Vidio INDOFLAZ'!E8,"Rp. ",""),".","")),'Vidio INDOFLAZ'!E8)</f>
        <v>96148</v>
      </c>
      <c r="G196" s="38" t="n">
        <f aca="false">IFERROR(VALUE(SUBSTITUTE(SUBSTITUTE('Vidio INDOFLAZ'!F8,"Rp. ",""),".","")),'Vidio INDOFLAZ'!F8)</f>
        <v>95948</v>
      </c>
      <c r="H196" s="38" t="n">
        <f aca="false">IFERROR(VALUE(SUBSTITUTE(SUBSTITUTE('Vidio INDOFLAZ'!G8,"Rp. ",""),".","")),'Vidio INDOFLAZ'!G8)</f>
        <v>95748</v>
      </c>
      <c r="I196" s="8" t="s">
        <v>2638</v>
      </c>
      <c r="J196" s="38" t="n">
        <f aca="false">'Vidio OURA STORE'!A4</f>
        <v>142212</v>
      </c>
      <c r="K196" s="38" t="n">
        <f aca="false">'Vidio OURA STORE'!A11</f>
        <v>41475</v>
      </c>
      <c r="L196" s="38" t="n">
        <f aca="false">'Vidio OURA STORE'!A13</f>
        <v>60327</v>
      </c>
      <c r="M196" s="8" t="n">
        <f aca="false">COUNT(J196:L196)</f>
        <v>3</v>
      </c>
      <c r="N196" s="40" t="str">
        <f aca="false">IF(M196&gt;0,"Ada","Tidak Ada")</f>
        <v>Ada</v>
      </c>
      <c r="O196" s="41" t="n">
        <f aca="false">IF(M196&gt;0,MIN(J196:L196),"-")</f>
        <v>41475</v>
      </c>
      <c r="P196" s="41" t="n">
        <f aca="false">IF(M196&gt;0,AVERAGE(J196:L196),"-")</f>
        <v>81338</v>
      </c>
      <c r="Q196" s="41" t="n">
        <f aca="false">IF(M196&gt;0,O196-G196,"-")</f>
        <v>-54473</v>
      </c>
      <c r="R196" s="42" t="n">
        <f aca="false">IF(M196&gt;0,IFERROR(Q196/O196,"-"),"-")</f>
        <v>-1.3133936106088</v>
      </c>
      <c r="S196" s="41" t="n">
        <f aca="false">IF(M196&gt;0,ROUND(MAX(G196*1.08,O196*0.97)/100,0)*100,ROUND(G196*1.12/100,0)*100)</f>
        <v>103600</v>
      </c>
      <c r="T196" s="42" t="n">
        <f aca="false">IFERROR((S196-G196)/S196,"-")</f>
        <v>0.0738610038610039</v>
      </c>
    </row>
    <row r="197" customFormat="false" ht="15" hidden="false" customHeight="false" outlineLevel="0" collapsed="false">
      <c r="A197" s="8" t="s">
        <v>1638</v>
      </c>
      <c r="B197" s="8" t="s">
        <v>1676</v>
      </c>
      <c r="C197" s="8" t="s">
        <v>1677</v>
      </c>
      <c r="D197" s="8" t="s">
        <v>33</v>
      </c>
      <c r="E197" s="8" t="n">
        <v>1</v>
      </c>
      <c r="F197" s="38" t="n">
        <f aca="false">IFERROR(VALUE(SUBSTITUTE(SUBSTITUTE('Vidio INDOFLAZ'!E9,"Rp. ",""),".","")),'Vidio INDOFLAZ'!E9)</f>
        <v>258900</v>
      </c>
      <c r="G197" s="38" t="n">
        <f aca="false">IFERROR(VALUE(SUBSTITUTE(SUBSTITUTE('Vidio INDOFLAZ'!F9,"Rp. ",""),".","")),'Vidio INDOFLAZ'!F9)</f>
        <v>258700</v>
      </c>
      <c r="H197" s="38" t="n">
        <f aca="false">IFERROR(VALUE(SUBSTITUTE(SUBSTITUTE('Vidio INDOFLAZ'!G9,"Rp. ",""),".","")),'Vidio INDOFLAZ'!G9)</f>
        <v>258500</v>
      </c>
      <c r="I197" s="8" t="s">
        <v>2638</v>
      </c>
      <c r="J197" s="38" t="n">
        <f aca="false">'Vidio OURA STORE'!A6</f>
        <v>443819</v>
      </c>
      <c r="K197" s="38" t="n">
        <f aca="false">'Vidio OURA STORE'!A25</f>
        <v>300796</v>
      </c>
      <c r="L197" s="38" t="n">
        <f aca="false">'Vidio OURA STORE'!A29</f>
        <v>435693</v>
      </c>
      <c r="M197" s="8" t="n">
        <f aca="false">COUNT(J197:L197)</f>
        <v>3</v>
      </c>
      <c r="N197" s="40" t="str">
        <f aca="false">IF(M197&gt;0,"Ada","Tidak Ada")</f>
        <v>Ada</v>
      </c>
      <c r="O197" s="41" t="n">
        <f aca="false">IF(M197&gt;0,MIN(J197:L197),"-")</f>
        <v>300796</v>
      </c>
      <c r="P197" s="41" t="n">
        <f aca="false">IF(M197&gt;0,AVERAGE(J197:L197),"-")</f>
        <v>393436</v>
      </c>
      <c r="Q197" s="41" t="n">
        <f aca="false">IF(M197&gt;0,O197-G197,"-")</f>
        <v>42096</v>
      </c>
      <c r="R197" s="42" t="n">
        <f aca="false">IF(M197&gt;0,IFERROR(Q197/O197,"-"),"-")</f>
        <v>0.13994866953018</v>
      </c>
      <c r="S197" s="41" t="n">
        <f aca="false">IF(M197&gt;0,ROUND(MAX(G197*1.08,O197*0.97)/100,0)*100,ROUND(G197*1.12/100,0)*100)</f>
        <v>291800</v>
      </c>
      <c r="T197" s="42" t="n">
        <f aca="false">IFERROR((S197-G197)/S197,"-")</f>
        <v>0.113433858807402</v>
      </c>
    </row>
    <row r="198" customFormat="false" ht="15" hidden="false" customHeight="false" outlineLevel="0" collapsed="false">
      <c r="A198" s="8" t="s">
        <v>1638</v>
      </c>
      <c r="B198" s="8" t="s">
        <v>1682</v>
      </c>
      <c r="C198" s="8" t="s">
        <v>1677</v>
      </c>
      <c r="D198" s="8" t="s">
        <v>33</v>
      </c>
      <c r="E198" s="8" t="n">
        <v>1</v>
      </c>
      <c r="F198" s="38" t="n">
        <f aca="false">IFERROR(VALUE(SUBSTITUTE(SUBSTITUTE('Vidio INDOFLAZ'!E10,"Rp. ",""),".","")),'Vidio INDOFLAZ'!E10)</f>
        <v>261995</v>
      </c>
      <c r="G198" s="38" t="n">
        <f aca="false">IFERROR(VALUE(SUBSTITUTE(SUBSTITUTE('Vidio INDOFLAZ'!F10,"Rp. ",""),".","")),'Vidio INDOFLAZ'!F10)</f>
        <v>261795</v>
      </c>
      <c r="H198" s="38" t="n">
        <f aca="false">IFERROR(VALUE(SUBSTITUTE(SUBSTITUTE('Vidio INDOFLAZ'!G10,"Rp. ",""),".","")),'Vidio INDOFLAZ'!G10)</f>
        <v>261595</v>
      </c>
      <c r="I198" s="8" t="s">
        <v>2638</v>
      </c>
      <c r="J198" s="38" t="n">
        <f aca="false">'Vidio OURA STORE'!A6</f>
        <v>443819</v>
      </c>
      <c r="K198" s="38" t="n">
        <f aca="false">'Vidio OURA STORE'!A25</f>
        <v>300796</v>
      </c>
      <c r="L198" s="38" t="n">
        <f aca="false">'Vidio OURA STORE'!A29</f>
        <v>435693</v>
      </c>
      <c r="M198" s="8" t="n">
        <f aca="false">COUNT(J198:L198)</f>
        <v>3</v>
      </c>
      <c r="N198" s="40" t="str">
        <f aca="false">IF(M198&gt;0,"Ada","Tidak Ada")</f>
        <v>Ada</v>
      </c>
      <c r="O198" s="41" t="n">
        <f aca="false">IF(M198&gt;0,MIN(J198:L198),"-")</f>
        <v>300796</v>
      </c>
      <c r="P198" s="41" t="n">
        <f aca="false">IF(M198&gt;0,AVERAGE(J198:L198),"-")</f>
        <v>393436</v>
      </c>
      <c r="Q198" s="41" t="n">
        <f aca="false">IF(M198&gt;0,O198-G198,"-")</f>
        <v>39001</v>
      </c>
      <c r="R198" s="42" t="n">
        <f aca="false">IF(M198&gt;0,IFERROR(Q198/O198,"-"),"-")</f>
        <v>0.129659303980106</v>
      </c>
      <c r="S198" s="41" t="n">
        <f aca="false">IF(M198&gt;0,ROUND(MAX(G198*1.08,O198*0.97)/100,0)*100,ROUND(G198*1.12/100,0)*100)</f>
        <v>291800</v>
      </c>
      <c r="T198" s="42" t="n">
        <f aca="false">IFERROR((S198-G198)/S198,"-")</f>
        <v>0.102827278958191</v>
      </c>
    </row>
    <row r="199" customFormat="false" ht="15" hidden="false" customHeight="false" outlineLevel="0" collapsed="false">
      <c r="A199" s="8" t="s">
        <v>1638</v>
      </c>
      <c r="B199" s="8" t="s">
        <v>1687</v>
      </c>
      <c r="C199" s="8" t="s">
        <v>1688</v>
      </c>
      <c r="D199" s="8" t="s">
        <v>33</v>
      </c>
      <c r="E199" s="8" t="n">
        <v>1</v>
      </c>
      <c r="F199" s="38" t="n">
        <f aca="false">IFERROR(VALUE(SUBSTITUTE(SUBSTITUTE('Vidio INDOFLAZ'!E11,"Rp. ",""),".","")),'Vidio INDOFLAZ'!E11)</f>
        <v>413200</v>
      </c>
      <c r="G199" s="38" t="n">
        <f aca="false">IFERROR(VALUE(SUBSTITUTE(SUBSTITUTE('Vidio INDOFLAZ'!F11,"Rp. ",""),".","")),'Vidio INDOFLAZ'!F11)</f>
        <v>413000</v>
      </c>
      <c r="H199" s="38" t="n">
        <f aca="false">IFERROR(VALUE(SUBSTITUTE(SUBSTITUTE('Vidio INDOFLAZ'!G11,"Rp. ",""),".","")),'Vidio INDOFLAZ'!G11)</f>
        <v>412800</v>
      </c>
      <c r="I199" s="8" t="s">
        <v>2638</v>
      </c>
      <c r="J199" s="38" t="n">
        <f aca="false">'Vidio OURA STORE'!A6</f>
        <v>443819</v>
      </c>
      <c r="K199" s="38" t="n">
        <f aca="false">'Vidio OURA STORE'!A25</f>
        <v>300796</v>
      </c>
      <c r="L199" s="38" t="n">
        <f aca="false">'Vidio OURA STORE'!A29</f>
        <v>435693</v>
      </c>
      <c r="M199" s="8" t="n">
        <f aca="false">COUNT(J199:L199)</f>
        <v>3</v>
      </c>
      <c r="N199" s="40" t="str">
        <f aca="false">IF(M199&gt;0,"Ada","Tidak Ada")</f>
        <v>Ada</v>
      </c>
      <c r="O199" s="41" t="n">
        <f aca="false">IF(M199&gt;0,MIN(J199:L199),"-")</f>
        <v>300796</v>
      </c>
      <c r="P199" s="41" t="n">
        <f aca="false">IF(M199&gt;0,AVERAGE(J199:L199),"-")</f>
        <v>393436</v>
      </c>
      <c r="Q199" s="41" t="n">
        <f aca="false">IF(M199&gt;0,O199-G199,"-")</f>
        <v>-112204</v>
      </c>
      <c r="R199" s="42" t="n">
        <f aca="false">IF(M199&gt;0,IFERROR(Q199/O199,"-"),"-")</f>
        <v>-0.373023577441189</v>
      </c>
      <c r="S199" s="41" t="n">
        <f aca="false">IF(M199&gt;0,ROUND(MAX(G199*1.08,O199*0.97)/100,0)*100,ROUND(G199*1.12/100,0)*100)</f>
        <v>446000</v>
      </c>
      <c r="T199" s="42" t="n">
        <f aca="false">IFERROR((S199-G199)/S199,"-")</f>
        <v>0.0739910313901345</v>
      </c>
    </row>
    <row r="200" customFormat="false" ht="15" hidden="false" customHeight="false" outlineLevel="0" collapsed="false">
      <c r="A200" s="8" t="s">
        <v>1638</v>
      </c>
      <c r="B200" s="8" t="s">
        <v>1693</v>
      </c>
      <c r="C200" s="8" t="s">
        <v>1688</v>
      </c>
      <c r="D200" s="8" t="s">
        <v>33</v>
      </c>
      <c r="E200" s="8" t="n">
        <v>1</v>
      </c>
      <c r="F200" s="38" t="n">
        <f aca="false">IFERROR(VALUE(SUBSTITUTE(SUBSTITUTE('Vidio INDOFLAZ'!E12,"Rp. ",""),".","")),'Vidio INDOFLAZ'!E12)</f>
        <v>418190</v>
      </c>
      <c r="G200" s="38" t="n">
        <f aca="false">IFERROR(VALUE(SUBSTITUTE(SUBSTITUTE('Vidio INDOFLAZ'!F12,"Rp. ",""),".","")),'Vidio INDOFLAZ'!F12)</f>
        <v>417990</v>
      </c>
      <c r="H200" s="38" t="n">
        <f aca="false">IFERROR(VALUE(SUBSTITUTE(SUBSTITUTE('Vidio INDOFLAZ'!G12,"Rp. ",""),".","")),'Vidio INDOFLAZ'!G12)</f>
        <v>417790</v>
      </c>
      <c r="I200" s="8" t="s">
        <v>2638</v>
      </c>
      <c r="J200" s="38" t="n">
        <f aca="false">'Vidio OURA STORE'!A6</f>
        <v>443819</v>
      </c>
      <c r="K200" s="38" t="n">
        <f aca="false">'Vidio OURA STORE'!A25</f>
        <v>300796</v>
      </c>
      <c r="L200" s="38" t="n">
        <f aca="false">'Vidio OURA STORE'!A29</f>
        <v>435693</v>
      </c>
      <c r="M200" s="8" t="n">
        <f aca="false">COUNT(J200:L200)</f>
        <v>3</v>
      </c>
      <c r="N200" s="40" t="str">
        <f aca="false">IF(M200&gt;0,"Ada","Tidak Ada")</f>
        <v>Ada</v>
      </c>
      <c r="O200" s="41" t="n">
        <f aca="false">IF(M200&gt;0,MIN(J200:L200),"-")</f>
        <v>300796</v>
      </c>
      <c r="P200" s="41" t="n">
        <f aca="false">IF(M200&gt;0,AVERAGE(J200:L200),"-")</f>
        <v>393436</v>
      </c>
      <c r="Q200" s="41" t="n">
        <f aca="false">IF(M200&gt;0,O200-G200,"-")</f>
        <v>-117194</v>
      </c>
      <c r="R200" s="42" t="n">
        <f aca="false">IF(M200&gt;0,IFERROR(Q200/O200,"-"),"-")</f>
        <v>-0.389612893788481</v>
      </c>
      <c r="S200" s="41" t="n">
        <f aca="false">IF(M200&gt;0,ROUND(MAX(G200*1.08,O200*0.97)/100,0)*100,ROUND(G200*1.12/100,0)*100)</f>
        <v>451400</v>
      </c>
      <c r="T200" s="42" t="n">
        <f aca="false">IFERROR((S200-G200)/S200,"-")</f>
        <v>0.0740141781125388</v>
      </c>
    </row>
    <row r="201" customFormat="false" ht="15" hidden="false" customHeight="false" outlineLevel="0" collapsed="false">
      <c r="A201" s="8" t="s">
        <v>1638</v>
      </c>
      <c r="B201" s="8" t="s">
        <v>1698</v>
      </c>
      <c r="C201" s="8" t="s">
        <v>1699</v>
      </c>
      <c r="D201" s="8" t="s">
        <v>33</v>
      </c>
      <c r="E201" s="8" t="n">
        <v>1</v>
      </c>
      <c r="F201" s="38" t="n">
        <f aca="false">IFERROR(VALUE(SUBSTITUTE(SUBSTITUTE('Vidio INDOFLAZ'!E13,"Rp. ",""),".","")),'Vidio INDOFLAZ'!E13)</f>
        <v>721000</v>
      </c>
      <c r="G201" s="38" t="n">
        <f aca="false">IFERROR(VALUE(SUBSTITUTE(SUBSTITUTE('Vidio INDOFLAZ'!F13,"Rp. ",""),".","")),'Vidio INDOFLAZ'!F13)</f>
        <v>720800</v>
      </c>
      <c r="H201" s="38" t="n">
        <f aca="false">IFERROR(VALUE(SUBSTITUTE(SUBSTITUTE('Vidio INDOFLAZ'!G13,"Rp. ",""),".","")),'Vidio INDOFLAZ'!G13)</f>
        <v>720600</v>
      </c>
      <c r="I201" s="8" t="s">
        <v>2638</v>
      </c>
      <c r="J201" s="38" t="n">
        <f aca="false">'Vidio OURA STORE'!A6</f>
        <v>443819</v>
      </c>
      <c r="K201" s="38" t="n">
        <f aca="false">'Vidio OURA STORE'!A25</f>
        <v>300796</v>
      </c>
      <c r="L201" s="38" t="n">
        <f aca="false">'Vidio OURA STORE'!A29</f>
        <v>435693</v>
      </c>
      <c r="M201" s="8" t="n">
        <f aca="false">COUNT(J201:L201)</f>
        <v>3</v>
      </c>
      <c r="N201" s="40" t="str">
        <f aca="false">IF(M201&gt;0,"Ada","Tidak Ada")</f>
        <v>Ada</v>
      </c>
      <c r="O201" s="41" t="n">
        <f aca="false">IF(M201&gt;0,MIN(J201:L201),"-")</f>
        <v>300796</v>
      </c>
      <c r="P201" s="41" t="n">
        <f aca="false">IF(M201&gt;0,AVERAGE(J201:L201),"-")</f>
        <v>393436</v>
      </c>
      <c r="Q201" s="41" t="n">
        <f aca="false">IF(M201&gt;0,O201-G201,"-")</f>
        <v>-420004</v>
      </c>
      <c r="R201" s="42" t="n">
        <f aca="false">IF(M201&gt;0,IFERROR(Q201/O201,"-"),"-")</f>
        <v>-1.39630846154869</v>
      </c>
      <c r="S201" s="41" t="n">
        <f aca="false">IF(M201&gt;0,ROUND(MAX(G201*1.08,O201*0.97)/100,0)*100,ROUND(G201*1.12/100,0)*100)</f>
        <v>778500</v>
      </c>
      <c r="T201" s="42" t="n">
        <f aca="false">IFERROR((S201-G201)/S201,"-")</f>
        <v>0.0741168914579319</v>
      </c>
    </row>
    <row r="202" customFormat="false" ht="15" hidden="false" customHeight="false" outlineLevel="0" collapsed="false">
      <c r="A202" s="8" t="s">
        <v>1638</v>
      </c>
      <c r="B202" s="8" t="s">
        <v>1704</v>
      </c>
      <c r="C202" s="8" t="s">
        <v>1699</v>
      </c>
      <c r="D202" s="8" t="s">
        <v>33</v>
      </c>
      <c r="E202" s="8" t="n">
        <v>1</v>
      </c>
      <c r="F202" s="38" t="n">
        <f aca="false">IFERROR(VALUE(SUBSTITUTE(SUBSTITUTE('Vidio INDOFLAZ'!E14,"Rp. ",""),".","")),'Vidio INDOFLAZ'!E14)</f>
        <v>721025</v>
      </c>
      <c r="G202" s="38" t="n">
        <f aca="false">IFERROR(VALUE(SUBSTITUTE(SUBSTITUTE('Vidio INDOFLAZ'!F14,"Rp. ",""),".","")),'Vidio INDOFLAZ'!F14)</f>
        <v>720825</v>
      </c>
      <c r="H202" s="38" t="n">
        <f aca="false">IFERROR(VALUE(SUBSTITUTE(SUBSTITUTE('Vidio INDOFLAZ'!G14,"Rp. ",""),".","")),'Vidio INDOFLAZ'!G14)</f>
        <v>720625</v>
      </c>
      <c r="I202" s="8" t="s">
        <v>2638</v>
      </c>
      <c r="J202" s="38" t="n">
        <f aca="false">'Vidio OURA STORE'!A6</f>
        <v>443819</v>
      </c>
      <c r="K202" s="38" t="n">
        <f aca="false">'Vidio OURA STORE'!A25</f>
        <v>300796</v>
      </c>
      <c r="L202" s="38" t="n">
        <f aca="false">'Vidio OURA STORE'!A29</f>
        <v>435693</v>
      </c>
      <c r="M202" s="8" t="n">
        <f aca="false">COUNT(J202:L202)</f>
        <v>3</v>
      </c>
      <c r="N202" s="40" t="str">
        <f aca="false">IF(M202&gt;0,"Ada","Tidak Ada")</f>
        <v>Ada</v>
      </c>
      <c r="O202" s="41" t="n">
        <f aca="false">IF(M202&gt;0,MIN(J202:L202),"-")</f>
        <v>300796</v>
      </c>
      <c r="P202" s="41" t="n">
        <f aca="false">IF(M202&gt;0,AVERAGE(J202:L202),"-")</f>
        <v>393436</v>
      </c>
      <c r="Q202" s="41" t="n">
        <f aca="false">IF(M202&gt;0,O202-G202,"-")</f>
        <v>-420029</v>
      </c>
      <c r="R202" s="42" t="n">
        <f aca="false">IF(M202&gt;0,IFERROR(Q202/O202,"-"),"-")</f>
        <v>-1.39639157435604</v>
      </c>
      <c r="S202" s="41" t="n">
        <f aca="false">IF(M202&gt;0,ROUND(MAX(G202*1.08,O202*0.97)/100,0)*100,ROUND(G202*1.12/100,0)*100)</f>
        <v>778500</v>
      </c>
      <c r="T202" s="42" t="n">
        <f aca="false">IFERROR((S202-G202)/S202,"-")</f>
        <v>0.0740847784200385</v>
      </c>
    </row>
    <row r="203" customFormat="false" ht="15" hidden="false" customHeight="false" outlineLevel="0" collapsed="false">
      <c r="A203" s="8" t="s">
        <v>1722</v>
      </c>
      <c r="B203" s="8" t="s">
        <v>1721</v>
      </c>
      <c r="C203" s="8" t="s">
        <v>1723</v>
      </c>
      <c r="D203" s="8" t="s">
        <v>34</v>
      </c>
      <c r="E203" s="8" t="n">
        <v>1</v>
      </c>
      <c r="F203" s="38" t="n">
        <f aca="false">IFERROR(VALUE(SUBSTITUTE(SUBSTITUTE('Xbox Indoflaz'!E2,"Rp. ",""),".","")),'Xbox Indoflaz'!E2)</f>
        <v>212700</v>
      </c>
      <c r="G203" s="38" t="n">
        <f aca="false">IFERROR(VALUE(SUBSTITUTE(SUBSTITUTE('Xbox Indoflaz'!F2,"Rp. ",""),".","")),'Xbox Indoflaz'!F2)</f>
        <v>212500</v>
      </c>
      <c r="H203" s="38" t="n">
        <f aca="false">IFERROR(VALUE(SUBSTITUTE(SUBSTITUTE('Xbox Indoflaz'!G2,"Rp. ",""),".","")),'Xbox Indoflaz'!G2)</f>
        <v>212300</v>
      </c>
      <c r="I203" s="8" t="s">
        <v>2625</v>
      </c>
      <c r="J203" s="39"/>
      <c r="K203" s="39"/>
      <c r="L203" s="39"/>
      <c r="M203" s="8" t="n">
        <f aca="false">COUNT(J203:L203)</f>
        <v>0</v>
      </c>
      <c r="N203" s="40" t="str">
        <f aca="false">IF(M203&gt;0,"Ada","Tidak Ada")</f>
        <v>Tidak Ada</v>
      </c>
      <c r="O203" s="41" t="str">
        <f aca="false">IF(M203&gt;0,MIN(J203:L203),"-")</f>
        <v>-</v>
      </c>
      <c r="P203" s="41" t="str">
        <f aca="false">IF(M203&gt;0,AVERAGE(J203:L203),"-")</f>
        <v>-</v>
      </c>
      <c r="Q203" s="41" t="str">
        <f aca="false">IF(M203&gt;0,O203-G203,"-")</f>
        <v>-</v>
      </c>
      <c r="R203" s="42" t="str">
        <f aca="false">IF(M203&gt;0,IFERROR(Q203/O203,"-"),"-")</f>
        <v>-</v>
      </c>
      <c r="S203" s="41" t="n">
        <f aca="false">IF(M203&gt;0,ROUND(MAX(G203*1.08,O203*0.97)/100,0)*100,ROUND(G203*1.12/100,0)*100)</f>
        <v>238000</v>
      </c>
      <c r="T203" s="42" t="n">
        <f aca="false">IFERROR((S203-G203)/S203,"-")</f>
        <v>0.107142857142857</v>
      </c>
    </row>
    <row r="204" customFormat="false" ht="15" hidden="false" customHeight="false" outlineLevel="0" collapsed="false">
      <c r="A204" s="8" t="s">
        <v>1722</v>
      </c>
      <c r="B204" s="8" t="s">
        <v>1728</v>
      </c>
      <c r="C204" s="8" t="s">
        <v>1729</v>
      </c>
      <c r="D204" s="8" t="s">
        <v>34</v>
      </c>
      <c r="E204" s="8" t="n">
        <v>3</v>
      </c>
      <c r="F204" s="38" t="n">
        <f aca="false">IFERROR(VALUE(SUBSTITUTE(SUBSTITUTE('Xbox Indoflaz'!E3,"Rp. ",""),".","")),'Xbox Indoflaz'!E3)</f>
        <v>354200</v>
      </c>
      <c r="G204" s="38" t="n">
        <f aca="false">IFERROR(VALUE(SUBSTITUTE(SUBSTITUTE('Xbox Indoflaz'!F3,"Rp. ",""),".","")),'Xbox Indoflaz'!F3)</f>
        <v>354000</v>
      </c>
      <c r="H204" s="38" t="n">
        <f aca="false">IFERROR(VALUE(SUBSTITUTE(SUBSTITUTE('Xbox Indoflaz'!G3,"Rp. ",""),".","")),'Xbox Indoflaz'!G3)</f>
        <v>353800</v>
      </c>
      <c r="I204" s="8" t="s">
        <v>2625</v>
      </c>
      <c r="J204" s="39"/>
      <c r="K204" s="39"/>
      <c r="L204" s="39"/>
      <c r="M204" s="8" t="n">
        <f aca="false">COUNT(J204:L204)</f>
        <v>0</v>
      </c>
      <c r="N204" s="40" t="str">
        <f aca="false">IF(M204&gt;0,"Ada","Tidak Ada")</f>
        <v>Tidak Ada</v>
      </c>
      <c r="O204" s="41" t="str">
        <f aca="false">IF(M204&gt;0,MIN(J204:L204),"-")</f>
        <v>-</v>
      </c>
      <c r="P204" s="41" t="str">
        <f aca="false">IF(M204&gt;0,AVERAGE(J204:L204),"-")</f>
        <v>-</v>
      </c>
      <c r="Q204" s="41" t="str">
        <f aca="false">IF(M204&gt;0,O204-G204,"-")</f>
        <v>-</v>
      </c>
      <c r="R204" s="42" t="str">
        <f aca="false">IF(M204&gt;0,IFERROR(Q204/O204,"-"),"-")</f>
        <v>-</v>
      </c>
      <c r="S204" s="41" t="n">
        <f aca="false">IF(M204&gt;0,ROUND(MAX(G204*1.08,O204*0.97)/100,0)*100,ROUND(G204*1.12/100,0)*100)</f>
        <v>396500</v>
      </c>
      <c r="T204" s="42" t="n">
        <f aca="false">IFERROR((S204-G204)/S204,"-")</f>
        <v>0.10718789407314</v>
      </c>
    </row>
    <row r="205" customFormat="false" ht="15" hidden="false" customHeight="false" outlineLevel="0" collapsed="false">
      <c r="A205" s="8" t="s">
        <v>1722</v>
      </c>
      <c r="B205" s="8" t="s">
        <v>1734</v>
      </c>
      <c r="C205" s="8" t="s">
        <v>1735</v>
      </c>
      <c r="D205" s="8" t="s">
        <v>34</v>
      </c>
      <c r="E205" s="8" t="n">
        <v>12</v>
      </c>
      <c r="F205" s="38" t="n">
        <f aca="false">IFERROR(VALUE(SUBSTITUTE(SUBSTITUTE('Xbox Indoflaz'!E4,"Rp. ",""),".","")),'Xbox Indoflaz'!E4)</f>
        <v>383700</v>
      </c>
      <c r="G205" s="38" t="n">
        <f aca="false">IFERROR(VALUE(SUBSTITUTE(SUBSTITUTE('Xbox Indoflaz'!F4,"Rp. ",""),".","")),'Xbox Indoflaz'!F4)</f>
        <v>383500</v>
      </c>
      <c r="H205" s="38" t="n">
        <f aca="false">IFERROR(VALUE(SUBSTITUTE(SUBSTITUTE('Xbox Indoflaz'!G4,"Rp. ",""),".","")),'Xbox Indoflaz'!G4)</f>
        <v>383300</v>
      </c>
      <c r="I205" s="8" t="s">
        <v>2625</v>
      </c>
      <c r="J205" s="39"/>
      <c r="K205" s="39"/>
      <c r="L205" s="39"/>
      <c r="M205" s="8" t="n">
        <f aca="false">COUNT(J205:L205)</f>
        <v>0</v>
      </c>
      <c r="N205" s="40" t="str">
        <f aca="false">IF(M205&gt;0,"Ada","Tidak Ada")</f>
        <v>Tidak Ada</v>
      </c>
      <c r="O205" s="41" t="str">
        <f aca="false">IF(M205&gt;0,MIN(J205:L205),"-")</f>
        <v>-</v>
      </c>
      <c r="P205" s="41" t="str">
        <f aca="false">IF(M205&gt;0,AVERAGE(J205:L205),"-")</f>
        <v>-</v>
      </c>
      <c r="Q205" s="41" t="str">
        <f aca="false">IF(M205&gt;0,O205-G205,"-")</f>
        <v>-</v>
      </c>
      <c r="R205" s="42" t="str">
        <f aca="false">IF(M205&gt;0,IFERROR(Q205/O205,"-"),"-")</f>
        <v>-</v>
      </c>
      <c r="S205" s="41" t="n">
        <f aca="false">IF(M205&gt;0,ROUND(MAX(G205*1.08,O205*0.97)/100,0)*100,ROUND(G205*1.12/100,0)*100)</f>
        <v>429500</v>
      </c>
      <c r="T205" s="42" t="n">
        <f aca="false">IFERROR((S205-G205)/S205,"-")</f>
        <v>0.107101280558789</v>
      </c>
    </row>
    <row r="206" customFormat="false" ht="15" hidden="false" customHeight="false" outlineLevel="0" collapsed="false">
      <c r="A206" s="8" t="s">
        <v>1722</v>
      </c>
      <c r="B206" s="8" t="s">
        <v>1739</v>
      </c>
      <c r="C206" s="8" t="s">
        <v>1740</v>
      </c>
      <c r="D206" s="8" t="s">
        <v>34</v>
      </c>
      <c r="E206" s="8" t="n">
        <v>3</v>
      </c>
      <c r="F206" s="38" t="n">
        <f aca="false">IFERROR(VALUE(SUBSTITUTE(SUBSTITUTE('Xbox Indoflaz'!E5,"Rp. ",""),".","")),'Xbox Indoflaz'!E5)</f>
        <v>637100</v>
      </c>
      <c r="G206" s="38" t="n">
        <f aca="false">IFERROR(VALUE(SUBSTITUTE(SUBSTITUTE('Xbox Indoflaz'!F5,"Rp. ",""),".","")),'Xbox Indoflaz'!F5)</f>
        <v>636900</v>
      </c>
      <c r="H206" s="38" t="n">
        <f aca="false">IFERROR(VALUE(SUBSTITUTE(SUBSTITUTE('Xbox Indoflaz'!G5,"Rp. ",""),".","")),'Xbox Indoflaz'!G5)</f>
        <v>636700</v>
      </c>
      <c r="I206" s="8" t="s">
        <v>2625</v>
      </c>
      <c r="J206" s="39"/>
      <c r="K206" s="39"/>
      <c r="L206" s="39"/>
      <c r="M206" s="8" t="n">
        <f aca="false">COUNT(J206:L206)</f>
        <v>0</v>
      </c>
      <c r="N206" s="40" t="str">
        <f aca="false">IF(M206&gt;0,"Ada","Tidak Ada")</f>
        <v>Tidak Ada</v>
      </c>
      <c r="O206" s="41" t="str">
        <f aca="false">IF(M206&gt;0,MIN(J206:L206),"-")</f>
        <v>-</v>
      </c>
      <c r="P206" s="41" t="str">
        <f aca="false">IF(M206&gt;0,AVERAGE(J206:L206),"-")</f>
        <v>-</v>
      </c>
      <c r="Q206" s="41" t="str">
        <f aca="false">IF(M206&gt;0,O206-G206,"-")</f>
        <v>-</v>
      </c>
      <c r="R206" s="42" t="str">
        <f aca="false">IF(M206&gt;0,IFERROR(Q206/O206,"-"),"-")</f>
        <v>-</v>
      </c>
      <c r="S206" s="41" t="n">
        <f aca="false">IF(M206&gt;0,ROUND(MAX(G206*1.08,O206*0.97)/100,0)*100,ROUND(G206*1.12/100,0)*100)</f>
        <v>713300</v>
      </c>
      <c r="T206" s="42" t="n">
        <f aca="false">IFERROR((S206-G206)/S206,"-")</f>
        <v>0.107107808776111</v>
      </c>
    </row>
    <row r="207" customFormat="false" ht="15" hidden="false" customHeight="false" outlineLevel="0" collapsed="false">
      <c r="A207" s="8" t="s">
        <v>1722</v>
      </c>
      <c r="B207" s="8" t="s">
        <v>1745</v>
      </c>
      <c r="C207" s="8" t="s">
        <v>1746</v>
      </c>
      <c r="D207" s="8" t="s">
        <v>34</v>
      </c>
      <c r="E207" s="8" t="n">
        <v>12</v>
      </c>
      <c r="F207" s="38" t="n">
        <f aca="false">IFERROR(VALUE(SUBSTITUTE(SUBSTITUTE('Xbox Indoflaz'!E6,"Rp. ",""),".","")),'Xbox Indoflaz'!E6)</f>
        <v>849200</v>
      </c>
      <c r="G207" s="38" t="n">
        <f aca="false">IFERROR(VALUE(SUBSTITUTE(SUBSTITUTE('Xbox Indoflaz'!F6,"Rp. ",""),".","")),'Xbox Indoflaz'!F6)</f>
        <v>849000</v>
      </c>
      <c r="H207" s="38" t="n">
        <f aca="false">IFERROR(VALUE(SUBSTITUTE(SUBSTITUTE('Xbox Indoflaz'!G6,"Rp. ",""),".","")),'Xbox Indoflaz'!G6)</f>
        <v>848800</v>
      </c>
      <c r="I207" s="8" t="s">
        <v>2625</v>
      </c>
      <c r="J207" s="39"/>
      <c r="K207" s="39"/>
      <c r="L207" s="39"/>
      <c r="M207" s="8" t="n">
        <f aca="false">COUNT(J207:L207)</f>
        <v>0</v>
      </c>
      <c r="N207" s="40" t="str">
        <f aca="false">IF(M207&gt;0,"Ada","Tidak Ada")</f>
        <v>Tidak Ada</v>
      </c>
      <c r="O207" s="41" t="str">
        <f aca="false">IF(M207&gt;0,MIN(J207:L207),"-")</f>
        <v>-</v>
      </c>
      <c r="P207" s="41" t="str">
        <f aca="false">IF(M207&gt;0,AVERAGE(J207:L207),"-")</f>
        <v>-</v>
      </c>
      <c r="Q207" s="41" t="str">
        <f aca="false">IF(M207&gt;0,O207-G207,"-")</f>
        <v>-</v>
      </c>
      <c r="R207" s="42" t="str">
        <f aca="false">IF(M207&gt;0,IFERROR(Q207/O207,"-"),"-")</f>
        <v>-</v>
      </c>
      <c r="S207" s="41" t="n">
        <f aca="false">IF(M207&gt;0,ROUND(MAX(G207*1.08,O207*0.97)/100,0)*100,ROUND(G207*1.12/100,0)*100)</f>
        <v>950900</v>
      </c>
      <c r="T207" s="42" t="n">
        <f aca="false">IFERROR((S207-G207)/S207,"-")</f>
        <v>0.107161636344516</v>
      </c>
    </row>
    <row r="208" customFormat="false" ht="15" hidden="false" customHeight="false" outlineLevel="0" collapsed="false">
      <c r="A208" s="8" t="s">
        <v>1722</v>
      </c>
      <c r="B208" s="8" t="s">
        <v>1751</v>
      </c>
      <c r="C208" s="8" t="s">
        <v>1752</v>
      </c>
      <c r="D208" s="8" t="s">
        <v>34</v>
      </c>
      <c r="E208" s="8" t="n">
        <v>6</v>
      </c>
      <c r="F208" s="38" t="n">
        <f aca="false">IFERROR(VALUE(SUBSTITUTE(SUBSTITUTE('Xbox Indoflaz'!E7,"Rp. ",""),".","")),'Xbox Indoflaz'!E7)</f>
        <v>849200</v>
      </c>
      <c r="G208" s="38" t="n">
        <f aca="false">IFERROR(VALUE(SUBSTITUTE(SUBSTITUTE('Xbox Indoflaz'!F7,"Rp. ",""),".","")),'Xbox Indoflaz'!F7)</f>
        <v>849000</v>
      </c>
      <c r="H208" s="38" t="n">
        <f aca="false">IFERROR(VALUE(SUBSTITUTE(SUBSTITUTE('Xbox Indoflaz'!G7,"Rp. ",""),".","")),'Xbox Indoflaz'!G7)</f>
        <v>848800</v>
      </c>
      <c r="I208" s="8" t="s">
        <v>2625</v>
      </c>
      <c r="J208" s="39"/>
      <c r="K208" s="39"/>
      <c r="L208" s="39"/>
      <c r="M208" s="8" t="n">
        <f aca="false">COUNT(J208:L208)</f>
        <v>0</v>
      </c>
      <c r="N208" s="40" t="str">
        <f aca="false">IF(M208&gt;0,"Ada","Tidak Ada")</f>
        <v>Tidak Ada</v>
      </c>
      <c r="O208" s="41" t="str">
        <f aca="false">IF(M208&gt;0,MIN(J208:L208),"-")</f>
        <v>-</v>
      </c>
      <c r="P208" s="41" t="str">
        <f aca="false">IF(M208&gt;0,AVERAGE(J208:L208),"-")</f>
        <v>-</v>
      </c>
      <c r="Q208" s="41" t="str">
        <f aca="false">IF(M208&gt;0,O208-G208,"-")</f>
        <v>-</v>
      </c>
      <c r="R208" s="42" t="str">
        <f aca="false">IF(M208&gt;0,IFERROR(Q208/O208,"-"),"-")</f>
        <v>-</v>
      </c>
      <c r="S208" s="41" t="n">
        <f aca="false">IF(M208&gt;0,ROUND(MAX(G208*1.08,O208*0.97)/100,0)*100,ROUND(G208*1.12/100,0)*100)</f>
        <v>950900</v>
      </c>
      <c r="T208" s="42" t="n">
        <f aca="false">IFERROR((S208-G208)/S208,"-")</f>
        <v>0.107161636344516</v>
      </c>
    </row>
    <row r="209" customFormat="false" ht="15" hidden="false" customHeight="false" outlineLevel="0" collapsed="false">
      <c r="A209" s="8" t="s">
        <v>1754</v>
      </c>
      <c r="B209" s="8" t="s">
        <v>1753</v>
      </c>
      <c r="C209" s="8" t="s">
        <v>1755</v>
      </c>
      <c r="D209" s="8" t="s">
        <v>35</v>
      </c>
      <c r="E209" s="8" t="n">
        <v>50000</v>
      </c>
      <c r="F209" s="38" t="n">
        <f aca="false">IFERROR(VALUE(SUBSTITUTE(SUBSTITUTE('Hotelmurah INDOLAZ'!E2,"Rp. ",""),".","")),'Hotelmurah INDOLAZ'!E2)</f>
        <v>41600</v>
      </c>
      <c r="G209" s="38" t="n">
        <f aca="false">IFERROR(VALUE(SUBSTITUTE(SUBSTITUTE('Hotelmurah INDOLAZ'!F2,"Rp. ",""),".","")),'Hotelmurah INDOLAZ'!F2)</f>
        <v>41200</v>
      </c>
      <c r="H209" s="38" t="n">
        <f aca="false">IFERROR(VALUE(SUBSTITUTE(SUBSTITUTE('Hotelmurah INDOLAZ'!G2,"Rp. ",""),".","")),'Hotelmurah INDOLAZ'!G2)</f>
        <v>40800</v>
      </c>
      <c r="I209" s="8" t="s">
        <v>2625</v>
      </c>
      <c r="J209" s="39"/>
      <c r="K209" s="39"/>
      <c r="L209" s="39"/>
      <c r="M209" s="8" t="n">
        <f aca="false">COUNT(J209:L209)</f>
        <v>0</v>
      </c>
      <c r="N209" s="40" t="str">
        <f aca="false">IF(M209&gt;0,"Ada","Tidak Ada")</f>
        <v>Tidak Ada</v>
      </c>
      <c r="O209" s="41" t="str">
        <f aca="false">IF(M209&gt;0,MIN(J209:L209),"-")</f>
        <v>-</v>
      </c>
      <c r="P209" s="41" t="str">
        <f aca="false">IF(M209&gt;0,AVERAGE(J209:L209),"-")</f>
        <v>-</v>
      </c>
      <c r="Q209" s="41" t="str">
        <f aca="false">IF(M209&gt;0,O209-G209,"-")</f>
        <v>-</v>
      </c>
      <c r="R209" s="42" t="str">
        <f aca="false">IF(M209&gt;0,IFERROR(Q209/O209,"-"),"-")</f>
        <v>-</v>
      </c>
      <c r="S209" s="41" t="n">
        <f aca="false">IF(M209&gt;0,ROUND(MAX(G209*1.08,O209*0.97)/100,0)*100,ROUND(G209*1.12/100,0)*100)</f>
        <v>46100</v>
      </c>
      <c r="T209" s="42" t="n">
        <f aca="false">IFERROR((S209-G209)/S209,"-")</f>
        <v>0.106290672451193</v>
      </c>
    </row>
    <row r="210" customFormat="false" ht="15" hidden="false" customHeight="false" outlineLevel="0" collapsed="false">
      <c r="A210" s="8" t="s">
        <v>1754</v>
      </c>
      <c r="B210" s="8" t="s">
        <v>1760</v>
      </c>
      <c r="C210" s="8" t="s">
        <v>1761</v>
      </c>
      <c r="D210" s="8" t="s">
        <v>35</v>
      </c>
      <c r="E210" s="8" t="n">
        <v>100000</v>
      </c>
      <c r="F210" s="38" t="n">
        <f aca="false">IFERROR(VALUE(SUBSTITUTE(SUBSTITUTE('Hotelmurah INDOLAZ'!E3,"Rp. ",""),".","")),'Hotelmurah INDOLAZ'!E3)</f>
        <v>93600</v>
      </c>
      <c r="G210" s="38" t="n">
        <f aca="false">IFERROR(VALUE(SUBSTITUTE(SUBSTITUTE('Hotelmurah INDOLAZ'!F3,"Rp. ",""),".","")),'Hotelmurah INDOLAZ'!F3)</f>
        <v>92700</v>
      </c>
      <c r="H210" s="38" t="n">
        <f aca="false">IFERROR(VALUE(SUBSTITUTE(SUBSTITUTE('Hotelmurah INDOLAZ'!G3,"Rp. ",""),".","")),'Hotelmurah INDOLAZ'!G3)</f>
        <v>91800</v>
      </c>
      <c r="I210" s="8" t="s">
        <v>2625</v>
      </c>
      <c r="J210" s="39"/>
      <c r="K210" s="39"/>
      <c r="L210" s="39"/>
      <c r="M210" s="8" t="n">
        <f aca="false">COUNT(J210:L210)</f>
        <v>0</v>
      </c>
      <c r="N210" s="40" t="str">
        <f aca="false">IF(M210&gt;0,"Ada","Tidak Ada")</f>
        <v>Tidak Ada</v>
      </c>
      <c r="O210" s="41" t="str">
        <f aca="false">IF(M210&gt;0,MIN(J210:L210),"-")</f>
        <v>-</v>
      </c>
      <c r="P210" s="41" t="str">
        <f aca="false">IF(M210&gt;0,AVERAGE(J210:L210),"-")</f>
        <v>-</v>
      </c>
      <c r="Q210" s="41" t="str">
        <f aca="false">IF(M210&gt;0,O210-G210,"-")</f>
        <v>-</v>
      </c>
      <c r="R210" s="42" t="str">
        <f aca="false">IF(M210&gt;0,IFERROR(Q210/O210,"-"),"-")</f>
        <v>-</v>
      </c>
      <c r="S210" s="41" t="n">
        <f aca="false">IF(M210&gt;0,ROUND(MAX(G210*1.08,O210*0.97)/100,0)*100,ROUND(G210*1.12/100,0)*100)</f>
        <v>103800</v>
      </c>
      <c r="T210" s="42" t="n">
        <f aca="false">IFERROR((S210-G210)/S210,"-")</f>
        <v>0.106936416184971</v>
      </c>
    </row>
    <row r="211" customFormat="false" ht="15" hidden="false" customHeight="false" outlineLevel="0" collapsed="false">
      <c r="A211" s="8" t="s">
        <v>1754</v>
      </c>
      <c r="B211" s="8" t="s">
        <v>1766</v>
      </c>
      <c r="C211" s="8" t="s">
        <v>1767</v>
      </c>
      <c r="D211" s="8" t="s">
        <v>35</v>
      </c>
      <c r="E211" s="8" t="n">
        <v>200000</v>
      </c>
      <c r="F211" s="38" t="n">
        <f aca="false">IFERROR(VALUE(SUBSTITUTE(SUBSTITUTE('Hotelmurah INDOLAZ'!E4,"Rp. ",""),".","")),'Hotelmurah INDOLAZ'!E4)</f>
        <v>196560</v>
      </c>
      <c r="G211" s="38" t="n">
        <f aca="false">IFERROR(VALUE(SUBSTITUTE(SUBSTITUTE('Hotelmurah INDOLAZ'!F4,"Rp. ",""),".","")),'Hotelmurah INDOLAZ'!F4)</f>
        <v>194670</v>
      </c>
      <c r="H211" s="38" t="n">
        <f aca="false">IFERROR(VALUE(SUBSTITUTE(SUBSTITUTE('Hotelmurah INDOLAZ'!G4,"Rp. ",""),".","")),'Hotelmurah INDOLAZ'!G4)</f>
        <v>192780</v>
      </c>
      <c r="I211" s="8" t="s">
        <v>2625</v>
      </c>
      <c r="J211" s="39"/>
      <c r="K211" s="39"/>
      <c r="L211" s="39"/>
      <c r="M211" s="8" t="n">
        <f aca="false">COUNT(J211:L211)</f>
        <v>0</v>
      </c>
      <c r="N211" s="40" t="str">
        <f aca="false">IF(M211&gt;0,"Ada","Tidak Ada")</f>
        <v>Tidak Ada</v>
      </c>
      <c r="O211" s="41" t="str">
        <f aca="false">IF(M211&gt;0,MIN(J211:L211),"-")</f>
        <v>-</v>
      </c>
      <c r="P211" s="41" t="str">
        <f aca="false">IF(M211&gt;0,AVERAGE(J211:L211),"-")</f>
        <v>-</v>
      </c>
      <c r="Q211" s="41" t="str">
        <f aca="false">IF(M211&gt;0,O211-G211,"-")</f>
        <v>-</v>
      </c>
      <c r="R211" s="42" t="str">
        <f aca="false">IF(M211&gt;0,IFERROR(Q211/O211,"-"),"-")</f>
        <v>-</v>
      </c>
      <c r="S211" s="41" t="n">
        <f aca="false">IF(M211&gt;0,ROUND(MAX(G211*1.08,O211*0.97)/100,0)*100,ROUND(G211*1.12/100,0)*100)</f>
        <v>218000</v>
      </c>
      <c r="T211" s="42" t="n">
        <f aca="false">IFERROR((S211-G211)/S211,"-")</f>
        <v>0.107018348623853</v>
      </c>
    </row>
    <row r="212" customFormat="false" ht="15" hidden="false" customHeight="false" outlineLevel="0" collapsed="false">
      <c r="A212" s="8" t="s">
        <v>1754</v>
      </c>
      <c r="B212" s="8" t="s">
        <v>1772</v>
      </c>
      <c r="C212" s="8" t="s">
        <v>1773</v>
      </c>
      <c r="D212" s="8" t="s">
        <v>35</v>
      </c>
      <c r="E212" s="8" t="n">
        <v>500000</v>
      </c>
      <c r="F212" s="38" t="n">
        <f aca="false">IFERROR(VALUE(SUBSTITUTE(SUBSTITUTE('Hotelmurah INDOLAZ'!E5,"Rp. ",""),".","")),'Hotelmurah INDOLAZ'!E5)</f>
        <v>504400</v>
      </c>
      <c r="G212" s="38" t="n">
        <f aca="false">IFERROR(VALUE(SUBSTITUTE(SUBSTITUTE('Hotelmurah INDOLAZ'!F5,"Rp. ",""),".","")),'Hotelmurah INDOLAZ'!F5)</f>
        <v>499550</v>
      </c>
      <c r="H212" s="38" t="n">
        <f aca="false">IFERROR(VALUE(SUBSTITUTE(SUBSTITUTE('Hotelmurah INDOLAZ'!G5,"Rp. ",""),".","")),'Hotelmurah INDOLAZ'!G5)</f>
        <v>494700</v>
      </c>
      <c r="I212" s="8" t="s">
        <v>2625</v>
      </c>
      <c r="J212" s="39"/>
      <c r="K212" s="39"/>
      <c r="L212" s="39"/>
      <c r="M212" s="8" t="n">
        <f aca="false">COUNT(J212:L212)</f>
        <v>0</v>
      </c>
      <c r="N212" s="40" t="str">
        <f aca="false">IF(M212&gt;0,"Ada","Tidak Ada")</f>
        <v>Tidak Ada</v>
      </c>
      <c r="O212" s="41" t="str">
        <f aca="false">IF(M212&gt;0,MIN(J212:L212),"-")</f>
        <v>-</v>
      </c>
      <c r="P212" s="41" t="str">
        <f aca="false">IF(M212&gt;0,AVERAGE(J212:L212),"-")</f>
        <v>-</v>
      </c>
      <c r="Q212" s="41" t="str">
        <f aca="false">IF(M212&gt;0,O212-G212,"-")</f>
        <v>-</v>
      </c>
      <c r="R212" s="42" t="str">
        <f aca="false">IF(M212&gt;0,IFERROR(Q212/O212,"-"),"-")</f>
        <v>-</v>
      </c>
      <c r="S212" s="41" t="n">
        <f aca="false">IF(M212&gt;0,ROUND(MAX(G212*1.08,O212*0.97)/100,0)*100,ROUND(G212*1.12/100,0)*100)</f>
        <v>559500</v>
      </c>
      <c r="T212" s="42" t="n">
        <f aca="false">IFERROR((S212-G212)/S212,"-")</f>
        <v>0.107149240393208</v>
      </c>
    </row>
    <row r="213" customFormat="false" ht="15" hidden="false" customHeight="false" outlineLevel="0" collapsed="false">
      <c r="A213" s="8" t="s">
        <v>1754</v>
      </c>
      <c r="B213" s="8" t="s">
        <v>1778</v>
      </c>
      <c r="C213" s="8" t="s">
        <v>1779</v>
      </c>
      <c r="D213" s="8" t="s">
        <v>35</v>
      </c>
      <c r="E213" s="8" t="n">
        <v>1000000</v>
      </c>
      <c r="F213" s="38" t="n">
        <f aca="false">IFERROR(VALUE(SUBSTITUTE(SUBSTITUTE('Hotelmurah INDOLAZ'!E6,"Rp. ",""),".","")),'Hotelmurah INDOLAZ'!E6)</f>
        <v>1019200</v>
      </c>
      <c r="G213" s="38" t="n">
        <f aca="false">IFERROR(VALUE(SUBSTITUTE(SUBSTITUTE('Hotelmurah INDOLAZ'!F6,"Rp. ",""),".","")),'Hotelmurah INDOLAZ'!F6)</f>
        <v>1009400</v>
      </c>
      <c r="H213" s="38" t="n">
        <f aca="false">IFERROR(VALUE(SUBSTITUTE(SUBSTITUTE('Hotelmurah INDOLAZ'!G6,"Rp. ",""),".","")),'Hotelmurah INDOLAZ'!G6)</f>
        <v>999600</v>
      </c>
      <c r="I213" s="8" t="s">
        <v>2625</v>
      </c>
      <c r="J213" s="39"/>
      <c r="K213" s="39"/>
      <c r="L213" s="39"/>
      <c r="M213" s="8" t="n">
        <f aca="false">COUNT(J213:L213)</f>
        <v>0</v>
      </c>
      <c r="N213" s="40" t="str">
        <f aca="false">IF(M213&gt;0,"Ada","Tidak Ada")</f>
        <v>Tidak Ada</v>
      </c>
      <c r="O213" s="41" t="str">
        <f aca="false">IF(M213&gt;0,MIN(J213:L213),"-")</f>
        <v>-</v>
      </c>
      <c r="P213" s="41" t="str">
        <f aca="false">IF(M213&gt;0,AVERAGE(J213:L213),"-")</f>
        <v>-</v>
      </c>
      <c r="Q213" s="41" t="str">
        <f aca="false">IF(M213&gt;0,O213-G213,"-")</f>
        <v>-</v>
      </c>
      <c r="R213" s="42" t="str">
        <f aca="false">IF(M213&gt;0,IFERROR(Q213/O213,"-"),"-")</f>
        <v>-</v>
      </c>
      <c r="S213" s="41" t="n">
        <f aca="false">IF(M213&gt;0,ROUND(MAX(G213*1.08,O213*0.97)/100,0)*100,ROUND(G213*1.12/100,0)*100)</f>
        <v>1130500</v>
      </c>
      <c r="T213" s="42" t="n">
        <f aca="false">IFERROR((S213-G213)/S213,"-")</f>
        <v>0.107120743034056</v>
      </c>
    </row>
    <row r="214" customFormat="false" ht="15" hidden="false" customHeight="false" outlineLevel="0" collapsed="false">
      <c r="A214" s="8" t="s">
        <v>36</v>
      </c>
      <c r="B214" s="8" t="s">
        <v>1784</v>
      </c>
      <c r="C214" s="8" t="s">
        <v>1785</v>
      </c>
      <c r="D214" s="8" t="s">
        <v>36</v>
      </c>
      <c r="E214" s="8"/>
      <c r="F214" s="38" t="n">
        <f aca="false">IFERROR(VALUE(SUBSTITUTE(SUBSTITUTE('Gontak Whatsapp dan SMS Gateway'!E2,"Rp. ",""),".","")),'Gontak Whatsapp dan SMS Gateway'!E2)</f>
        <v>25000</v>
      </c>
      <c r="G214" s="38" t="n">
        <f aca="false">IFERROR(VALUE(SUBSTITUTE(SUBSTITUTE('Gontak Whatsapp dan SMS Gateway'!F2,"Rp. ",""),".","")),'Gontak Whatsapp dan SMS Gateway'!F2)</f>
        <v>25000</v>
      </c>
      <c r="H214" s="38" t="n">
        <f aca="false">IFERROR(VALUE(SUBSTITUTE(SUBSTITUTE('Gontak Whatsapp dan SMS Gateway'!G2,"Rp. ",""),".","")),'Gontak Whatsapp dan SMS Gateway'!G2)</f>
        <v>25000</v>
      </c>
      <c r="I214" s="8" t="s">
        <v>2625</v>
      </c>
      <c r="J214" s="39"/>
      <c r="K214" s="39"/>
      <c r="L214" s="39"/>
      <c r="M214" s="8" t="n">
        <f aca="false">COUNT(J214:L214)</f>
        <v>0</v>
      </c>
      <c r="N214" s="40" t="str">
        <f aca="false">IF(M214&gt;0,"Ada","Tidak Ada")</f>
        <v>Tidak Ada</v>
      </c>
      <c r="O214" s="41" t="str">
        <f aca="false">IF(M214&gt;0,MIN(J214:L214),"-")</f>
        <v>-</v>
      </c>
      <c r="P214" s="41" t="str">
        <f aca="false">IF(M214&gt;0,AVERAGE(J214:L214),"-")</f>
        <v>-</v>
      </c>
      <c r="Q214" s="41" t="str">
        <f aca="false">IF(M214&gt;0,O214-G214,"-")</f>
        <v>-</v>
      </c>
      <c r="R214" s="42" t="str">
        <f aca="false">IF(M214&gt;0,IFERROR(Q214/O214,"-"),"-")</f>
        <v>-</v>
      </c>
      <c r="S214" s="41" t="n">
        <f aca="false">IF(M214&gt;0,ROUND(MAX(G214*1.08,O214*0.97)/100,0)*100,ROUND(G214*1.12/100,0)*100)</f>
        <v>28000</v>
      </c>
      <c r="T214" s="42" t="n">
        <f aca="false">IFERROR((S214-G214)/S214,"-")</f>
        <v>0.107142857142857</v>
      </c>
    </row>
    <row r="215" customFormat="false" ht="15" hidden="false" customHeight="false" outlineLevel="0" collapsed="false">
      <c r="A215" s="8" t="s">
        <v>36</v>
      </c>
      <c r="B215" s="8" t="s">
        <v>1787</v>
      </c>
      <c r="C215" s="8" t="s">
        <v>1788</v>
      </c>
      <c r="D215" s="8" t="s">
        <v>36</v>
      </c>
      <c r="E215" s="8"/>
      <c r="F215" s="38" t="n">
        <f aca="false">IFERROR(VALUE(SUBSTITUTE(SUBSTITUTE('Gontak Whatsapp dan SMS Gateway'!E3,"Rp. ",""),".","")),'Gontak Whatsapp dan SMS Gateway'!E3)</f>
        <v>50000</v>
      </c>
      <c r="G215" s="38" t="n">
        <f aca="false">IFERROR(VALUE(SUBSTITUTE(SUBSTITUTE('Gontak Whatsapp dan SMS Gateway'!F3,"Rp. ",""),".","")),'Gontak Whatsapp dan SMS Gateway'!F3)</f>
        <v>50000</v>
      </c>
      <c r="H215" s="38" t="n">
        <f aca="false">IFERROR(VALUE(SUBSTITUTE(SUBSTITUTE('Gontak Whatsapp dan SMS Gateway'!G3,"Rp. ",""),".","")),'Gontak Whatsapp dan SMS Gateway'!G3)</f>
        <v>50000</v>
      </c>
      <c r="I215" s="8" t="s">
        <v>2625</v>
      </c>
      <c r="J215" s="39"/>
      <c r="K215" s="39"/>
      <c r="L215" s="39"/>
      <c r="M215" s="8" t="n">
        <f aca="false">COUNT(J215:L215)</f>
        <v>0</v>
      </c>
      <c r="N215" s="40" t="str">
        <f aca="false">IF(M215&gt;0,"Ada","Tidak Ada")</f>
        <v>Tidak Ada</v>
      </c>
      <c r="O215" s="41" t="str">
        <f aca="false">IF(M215&gt;0,MIN(J215:L215),"-")</f>
        <v>-</v>
      </c>
      <c r="P215" s="41" t="str">
        <f aca="false">IF(M215&gt;0,AVERAGE(J215:L215),"-")</f>
        <v>-</v>
      </c>
      <c r="Q215" s="41" t="str">
        <f aca="false">IF(M215&gt;0,O215-G215,"-")</f>
        <v>-</v>
      </c>
      <c r="R215" s="42" t="str">
        <f aca="false">IF(M215&gt;0,IFERROR(Q215/O215,"-"),"-")</f>
        <v>-</v>
      </c>
      <c r="S215" s="41" t="n">
        <f aca="false">IF(M215&gt;0,ROUND(MAX(G215*1.08,O215*0.97)/100,0)*100,ROUND(G215*1.12/100,0)*100)</f>
        <v>56000</v>
      </c>
      <c r="T215" s="42" t="n">
        <f aca="false">IFERROR((S215-G215)/S215,"-")</f>
        <v>0.107142857142857</v>
      </c>
    </row>
    <row r="216" customFormat="false" ht="15" hidden="false" customHeight="false" outlineLevel="0" collapsed="false">
      <c r="A216" s="8" t="s">
        <v>36</v>
      </c>
      <c r="B216" s="8" t="s">
        <v>1790</v>
      </c>
      <c r="C216" s="8" t="s">
        <v>1791</v>
      </c>
      <c r="D216" s="8" t="s">
        <v>36</v>
      </c>
      <c r="E216" s="8"/>
      <c r="F216" s="38" t="n">
        <f aca="false">IFERROR(VALUE(SUBSTITUTE(SUBSTITUTE('Gontak Whatsapp dan SMS Gateway'!E4,"Rp. ",""),".","")),'Gontak Whatsapp dan SMS Gateway'!E4)</f>
        <v>80000</v>
      </c>
      <c r="G216" s="38" t="n">
        <f aca="false">IFERROR(VALUE(SUBSTITUTE(SUBSTITUTE('Gontak Whatsapp dan SMS Gateway'!F4,"Rp. ",""),".","")),'Gontak Whatsapp dan SMS Gateway'!F4)</f>
        <v>80000</v>
      </c>
      <c r="H216" s="38" t="n">
        <f aca="false">IFERROR(VALUE(SUBSTITUTE(SUBSTITUTE('Gontak Whatsapp dan SMS Gateway'!G4,"Rp. ",""),".","")),'Gontak Whatsapp dan SMS Gateway'!G4)</f>
        <v>80000</v>
      </c>
      <c r="I216" s="8" t="s">
        <v>2625</v>
      </c>
      <c r="J216" s="39"/>
      <c r="K216" s="39"/>
      <c r="L216" s="39"/>
      <c r="M216" s="8" t="n">
        <f aca="false">COUNT(J216:L216)</f>
        <v>0</v>
      </c>
      <c r="N216" s="40" t="str">
        <f aca="false">IF(M216&gt;0,"Ada","Tidak Ada")</f>
        <v>Tidak Ada</v>
      </c>
      <c r="O216" s="41" t="str">
        <f aca="false">IF(M216&gt;0,MIN(J216:L216),"-")</f>
        <v>-</v>
      </c>
      <c r="P216" s="41" t="str">
        <f aca="false">IF(M216&gt;0,AVERAGE(J216:L216),"-")</f>
        <v>-</v>
      </c>
      <c r="Q216" s="41" t="str">
        <f aca="false">IF(M216&gt;0,O216-G216,"-")</f>
        <v>-</v>
      </c>
      <c r="R216" s="42" t="str">
        <f aca="false">IF(M216&gt;0,IFERROR(Q216/O216,"-"),"-")</f>
        <v>-</v>
      </c>
      <c r="S216" s="41" t="n">
        <f aca="false">IF(M216&gt;0,ROUND(MAX(G216*1.08,O216*0.97)/100,0)*100,ROUND(G216*1.12/100,0)*100)</f>
        <v>89600</v>
      </c>
      <c r="T216" s="42" t="n">
        <f aca="false">IFERROR((S216-G216)/S216,"-")</f>
        <v>0.107142857142857</v>
      </c>
    </row>
    <row r="217" customFormat="false" ht="15" hidden="false" customHeight="false" outlineLevel="0" collapsed="false">
      <c r="A217" s="8" t="s">
        <v>1794</v>
      </c>
      <c r="B217" s="8" t="s">
        <v>1793</v>
      </c>
      <c r="C217" s="8" t="s">
        <v>1795</v>
      </c>
      <c r="D217" s="8" t="s">
        <v>37</v>
      </c>
      <c r="E217" s="8" t="n">
        <v>20000</v>
      </c>
      <c r="F217" s="38" t="n">
        <f aca="false">IFERROR(VALUE(SUBSTITUTE(SUBSTITUTE('PLN INDOFLAZ'!E2,"Rp. ",""),".","")),'PLN INDOFLAZ'!E2)</f>
        <v>21935</v>
      </c>
      <c r="G217" s="38" t="n">
        <f aca="false">IFERROR(VALUE(SUBSTITUTE(SUBSTITUTE('PLN INDOFLAZ'!F2,"Rp. ",""),".","")),'PLN INDOFLAZ'!F2)</f>
        <v>21785</v>
      </c>
      <c r="H217" s="38" t="n">
        <f aca="false">IFERROR(VALUE(SUBSTITUTE(SUBSTITUTE('PLN INDOFLAZ'!G2,"Rp. ",""),".","")),'PLN INDOFLAZ'!G2)</f>
        <v>21685</v>
      </c>
      <c r="I217" s="8" t="s">
        <v>2625</v>
      </c>
      <c r="J217" s="39"/>
      <c r="K217" s="39"/>
      <c r="L217" s="39"/>
      <c r="M217" s="8" t="n">
        <f aca="false">COUNT(J217:L217)</f>
        <v>0</v>
      </c>
      <c r="N217" s="40" t="str">
        <f aca="false">IF(M217&gt;0,"Ada","Tidak Ada")</f>
        <v>Tidak Ada</v>
      </c>
      <c r="O217" s="41" t="str">
        <f aca="false">IF(M217&gt;0,MIN(J217:L217),"-")</f>
        <v>-</v>
      </c>
      <c r="P217" s="41" t="str">
        <f aca="false">IF(M217&gt;0,AVERAGE(J217:L217),"-")</f>
        <v>-</v>
      </c>
      <c r="Q217" s="41" t="str">
        <f aca="false">IF(M217&gt;0,O217-G217,"-")</f>
        <v>-</v>
      </c>
      <c r="R217" s="42" t="str">
        <f aca="false">IF(M217&gt;0,IFERROR(Q217/O217,"-"),"-")</f>
        <v>-</v>
      </c>
      <c r="S217" s="41" t="n">
        <f aca="false">IF(M217&gt;0,ROUND(MAX(G217*1.08,O217*0.97)/100,0)*100,ROUND(G217*1.12/100,0)*100)</f>
        <v>24400</v>
      </c>
      <c r="T217" s="42" t="n">
        <f aca="false">IFERROR((S217-G217)/S217,"-")</f>
        <v>0.107172131147541</v>
      </c>
    </row>
    <row r="218" customFormat="false" ht="15" hidden="false" customHeight="false" outlineLevel="0" collapsed="false">
      <c r="A218" s="8" t="s">
        <v>1794</v>
      </c>
      <c r="B218" s="8" t="s">
        <v>1800</v>
      </c>
      <c r="C218" s="8" t="s">
        <v>1801</v>
      </c>
      <c r="D218" s="8" t="s">
        <v>37</v>
      </c>
      <c r="E218" s="8" t="n">
        <v>50000</v>
      </c>
      <c r="F218" s="38" t="n">
        <f aca="false">IFERROR(VALUE(SUBSTITUTE(SUBSTITUTE('PLN INDOFLAZ'!E3,"Rp. ",""),".","")),'PLN INDOFLAZ'!E3)</f>
        <v>52003</v>
      </c>
      <c r="G218" s="38" t="n">
        <f aca="false">IFERROR(VALUE(SUBSTITUTE(SUBSTITUTE('PLN INDOFLAZ'!F3,"Rp. ",""),".","")),'PLN INDOFLAZ'!F3)</f>
        <v>51853</v>
      </c>
      <c r="H218" s="38" t="n">
        <f aca="false">IFERROR(VALUE(SUBSTITUTE(SUBSTITUTE('PLN INDOFLAZ'!G3,"Rp. ",""),".","")),'PLN INDOFLAZ'!G3)</f>
        <v>51753</v>
      </c>
      <c r="I218" s="8" t="s">
        <v>2625</v>
      </c>
      <c r="J218" s="39"/>
      <c r="K218" s="39"/>
      <c r="L218" s="39"/>
      <c r="M218" s="8" t="n">
        <f aca="false">COUNT(J218:L218)</f>
        <v>0</v>
      </c>
      <c r="N218" s="40" t="str">
        <f aca="false">IF(M218&gt;0,"Ada","Tidak Ada")</f>
        <v>Tidak Ada</v>
      </c>
      <c r="O218" s="41" t="str">
        <f aca="false">IF(M218&gt;0,MIN(J218:L218),"-")</f>
        <v>-</v>
      </c>
      <c r="P218" s="41" t="str">
        <f aca="false">IF(M218&gt;0,AVERAGE(J218:L218),"-")</f>
        <v>-</v>
      </c>
      <c r="Q218" s="41" t="str">
        <f aca="false">IF(M218&gt;0,O218-G218,"-")</f>
        <v>-</v>
      </c>
      <c r="R218" s="42" t="str">
        <f aca="false">IF(M218&gt;0,IFERROR(Q218/O218,"-"),"-")</f>
        <v>-</v>
      </c>
      <c r="S218" s="41" t="n">
        <f aca="false">IF(M218&gt;0,ROUND(MAX(G218*1.08,O218*0.97)/100,0)*100,ROUND(G218*1.12/100,0)*100)</f>
        <v>58100</v>
      </c>
      <c r="T218" s="42" t="n">
        <f aca="false">IFERROR((S218-G218)/S218,"-")</f>
        <v>0.107521514629948</v>
      </c>
    </row>
    <row r="219" customFormat="false" ht="15" hidden="false" customHeight="false" outlineLevel="0" collapsed="false">
      <c r="A219" s="8" t="s">
        <v>1794</v>
      </c>
      <c r="B219" s="8" t="s">
        <v>1806</v>
      </c>
      <c r="C219" s="8" t="s">
        <v>1807</v>
      </c>
      <c r="D219" s="8" t="s">
        <v>37</v>
      </c>
      <c r="E219" s="8" t="n">
        <v>100000</v>
      </c>
      <c r="F219" s="38" t="n">
        <f aca="false">IFERROR(VALUE(SUBSTITUTE(SUBSTITUTE('PLN INDOFLAZ'!E4,"Rp. ",""),".","")),'PLN INDOFLAZ'!E4)</f>
        <v>101975</v>
      </c>
      <c r="G219" s="38" t="n">
        <f aca="false">IFERROR(VALUE(SUBSTITUTE(SUBSTITUTE('PLN INDOFLAZ'!F4,"Rp. ",""),".","")),'PLN INDOFLAZ'!F4)</f>
        <v>101825</v>
      </c>
      <c r="H219" s="38" t="n">
        <f aca="false">IFERROR(VALUE(SUBSTITUTE(SUBSTITUTE('PLN INDOFLAZ'!G4,"Rp. ",""),".","")),'PLN INDOFLAZ'!G4)</f>
        <v>101725</v>
      </c>
      <c r="I219" s="8" t="s">
        <v>2625</v>
      </c>
      <c r="J219" s="39"/>
      <c r="K219" s="39"/>
      <c r="L219" s="39"/>
      <c r="M219" s="8" t="n">
        <f aca="false">COUNT(J219:L219)</f>
        <v>0</v>
      </c>
      <c r="N219" s="40" t="str">
        <f aca="false">IF(M219&gt;0,"Ada","Tidak Ada")</f>
        <v>Tidak Ada</v>
      </c>
      <c r="O219" s="41" t="str">
        <f aca="false">IF(M219&gt;0,MIN(J219:L219),"-")</f>
        <v>-</v>
      </c>
      <c r="P219" s="41" t="str">
        <f aca="false">IF(M219&gt;0,AVERAGE(J219:L219),"-")</f>
        <v>-</v>
      </c>
      <c r="Q219" s="41" t="str">
        <f aca="false">IF(M219&gt;0,O219-G219,"-")</f>
        <v>-</v>
      </c>
      <c r="R219" s="42" t="str">
        <f aca="false">IF(M219&gt;0,IFERROR(Q219/O219,"-"),"-")</f>
        <v>-</v>
      </c>
      <c r="S219" s="41" t="n">
        <f aca="false">IF(M219&gt;0,ROUND(MAX(G219*1.08,O219*0.97)/100,0)*100,ROUND(G219*1.12/100,0)*100)</f>
        <v>114000</v>
      </c>
      <c r="T219" s="42" t="n">
        <f aca="false">IFERROR((S219-G219)/S219,"-")</f>
        <v>0.106798245614035</v>
      </c>
    </row>
    <row r="220" customFormat="false" ht="15" hidden="false" customHeight="false" outlineLevel="0" collapsed="false">
      <c r="A220" s="8" t="s">
        <v>1794</v>
      </c>
      <c r="B220" s="8" t="s">
        <v>1812</v>
      </c>
      <c r="C220" s="8" t="s">
        <v>1813</v>
      </c>
      <c r="D220" s="8" t="s">
        <v>37</v>
      </c>
      <c r="E220" s="8" t="n">
        <v>200000</v>
      </c>
      <c r="F220" s="38" t="n">
        <f aca="false">IFERROR(VALUE(SUBSTITUTE(SUBSTITUTE('PLN INDOFLAZ'!E5,"Rp. ",""),".","")),'PLN INDOFLAZ'!E5)</f>
        <v>202030</v>
      </c>
      <c r="G220" s="38" t="n">
        <f aca="false">IFERROR(VALUE(SUBSTITUTE(SUBSTITUTE('PLN INDOFLAZ'!F5,"Rp. ",""),".","")),'PLN INDOFLAZ'!F5)</f>
        <v>201880</v>
      </c>
      <c r="H220" s="38" t="n">
        <f aca="false">IFERROR(VALUE(SUBSTITUTE(SUBSTITUTE('PLN INDOFLAZ'!G5,"Rp. ",""),".","")),'PLN INDOFLAZ'!G5)</f>
        <v>201780</v>
      </c>
      <c r="I220" s="8" t="s">
        <v>2625</v>
      </c>
      <c r="J220" s="39"/>
      <c r="K220" s="39"/>
      <c r="L220" s="39"/>
      <c r="M220" s="8" t="n">
        <f aca="false">COUNT(J220:L220)</f>
        <v>0</v>
      </c>
      <c r="N220" s="40" t="str">
        <f aca="false">IF(M220&gt;0,"Ada","Tidak Ada")</f>
        <v>Tidak Ada</v>
      </c>
      <c r="O220" s="41" t="str">
        <f aca="false">IF(M220&gt;0,MIN(J220:L220),"-")</f>
        <v>-</v>
      </c>
      <c r="P220" s="41" t="str">
        <f aca="false">IF(M220&gt;0,AVERAGE(J220:L220),"-")</f>
        <v>-</v>
      </c>
      <c r="Q220" s="41" t="str">
        <f aca="false">IF(M220&gt;0,O220-G220,"-")</f>
        <v>-</v>
      </c>
      <c r="R220" s="42" t="str">
        <f aca="false">IF(M220&gt;0,IFERROR(Q220/O220,"-"),"-")</f>
        <v>-</v>
      </c>
      <c r="S220" s="41" t="n">
        <f aca="false">IF(M220&gt;0,ROUND(MAX(G220*1.08,O220*0.97)/100,0)*100,ROUND(G220*1.12/100,0)*100)</f>
        <v>226100</v>
      </c>
      <c r="T220" s="42" t="n">
        <f aca="false">IFERROR((S220-G220)/S220,"-")</f>
        <v>0.107120743034056</v>
      </c>
    </row>
    <row r="221" customFormat="false" ht="15" hidden="false" customHeight="false" outlineLevel="0" collapsed="false">
      <c r="A221" s="8" t="s">
        <v>1794</v>
      </c>
      <c r="B221" s="8" t="s">
        <v>1818</v>
      </c>
      <c r="C221" s="8" t="s">
        <v>1819</v>
      </c>
      <c r="D221" s="8" t="s">
        <v>37</v>
      </c>
      <c r="E221" s="8" t="n">
        <v>500000</v>
      </c>
      <c r="F221" s="38" t="n">
        <f aca="false">IFERROR(VALUE(SUBSTITUTE(SUBSTITUTE('PLN INDOFLAZ'!E6,"Rp. ",""),".","")),'PLN INDOFLAZ'!E6)</f>
        <v>501975</v>
      </c>
      <c r="G221" s="38" t="n">
        <f aca="false">IFERROR(VALUE(SUBSTITUTE(SUBSTITUTE('PLN INDOFLAZ'!F6,"Rp. ",""),".","")),'PLN INDOFLAZ'!F6)</f>
        <v>501825</v>
      </c>
      <c r="H221" s="38" t="n">
        <f aca="false">IFERROR(VALUE(SUBSTITUTE(SUBSTITUTE('PLN INDOFLAZ'!G6,"Rp. ",""),".","")),'PLN INDOFLAZ'!G6)</f>
        <v>501725</v>
      </c>
      <c r="I221" s="8" t="s">
        <v>2625</v>
      </c>
      <c r="J221" s="39"/>
      <c r="K221" s="39"/>
      <c r="L221" s="39"/>
      <c r="M221" s="8" t="n">
        <f aca="false">COUNT(J221:L221)</f>
        <v>0</v>
      </c>
      <c r="N221" s="40" t="str">
        <f aca="false">IF(M221&gt;0,"Ada","Tidak Ada")</f>
        <v>Tidak Ada</v>
      </c>
      <c r="O221" s="41" t="str">
        <f aca="false">IF(M221&gt;0,MIN(J221:L221),"-")</f>
        <v>-</v>
      </c>
      <c r="P221" s="41" t="str">
        <f aca="false">IF(M221&gt;0,AVERAGE(J221:L221),"-")</f>
        <v>-</v>
      </c>
      <c r="Q221" s="41" t="str">
        <f aca="false">IF(M221&gt;0,O221-G221,"-")</f>
        <v>-</v>
      </c>
      <c r="R221" s="42" t="str">
        <f aca="false">IF(M221&gt;0,IFERROR(Q221/O221,"-"),"-")</f>
        <v>-</v>
      </c>
      <c r="S221" s="41" t="n">
        <f aca="false">IF(M221&gt;0,ROUND(MAX(G221*1.08,O221*0.97)/100,0)*100,ROUND(G221*1.12/100,0)*100)</f>
        <v>562000</v>
      </c>
      <c r="T221" s="42" t="n">
        <f aca="false">IFERROR((S221-G221)/S221,"-")</f>
        <v>0.107072953736655</v>
      </c>
    </row>
    <row r="222" customFormat="false" ht="15" hidden="false" customHeight="false" outlineLevel="0" collapsed="false">
      <c r="A222" s="8" t="s">
        <v>1794</v>
      </c>
      <c r="B222" s="8" t="s">
        <v>1824</v>
      </c>
      <c r="C222" s="8" t="s">
        <v>1825</v>
      </c>
      <c r="D222" s="8" t="s">
        <v>37</v>
      </c>
      <c r="E222" s="8" t="n">
        <v>1000000</v>
      </c>
      <c r="F222" s="38" t="n">
        <f aca="false">IFERROR(VALUE(SUBSTITUTE(SUBSTITUTE('PLN INDOFLAZ'!E7,"Rp. ",""),".","")),'PLN INDOFLAZ'!E7)</f>
        <v>1002100</v>
      </c>
      <c r="G222" s="38" t="n">
        <f aca="false">IFERROR(VALUE(SUBSTITUTE(SUBSTITUTE('PLN INDOFLAZ'!F7,"Rp. ",""),".","")),'PLN INDOFLAZ'!F7)</f>
        <v>1001950</v>
      </c>
      <c r="H222" s="38" t="n">
        <f aca="false">IFERROR(VALUE(SUBSTITUTE(SUBSTITUTE('PLN INDOFLAZ'!G7,"Rp. ",""),".","")),'PLN INDOFLAZ'!G7)</f>
        <v>1001850</v>
      </c>
      <c r="I222" s="8" t="s">
        <v>2625</v>
      </c>
      <c r="J222" s="39"/>
      <c r="K222" s="39"/>
      <c r="L222" s="39"/>
      <c r="M222" s="8" t="n">
        <f aca="false">COUNT(J222:L222)</f>
        <v>0</v>
      </c>
      <c r="N222" s="40" t="str">
        <f aca="false">IF(M222&gt;0,"Ada","Tidak Ada")</f>
        <v>Tidak Ada</v>
      </c>
      <c r="O222" s="41" t="str">
        <f aca="false">IF(M222&gt;0,MIN(J222:L222),"-")</f>
        <v>-</v>
      </c>
      <c r="P222" s="41" t="str">
        <f aca="false">IF(M222&gt;0,AVERAGE(J222:L222),"-")</f>
        <v>-</v>
      </c>
      <c r="Q222" s="41" t="str">
        <f aca="false">IF(M222&gt;0,O222-G222,"-")</f>
        <v>-</v>
      </c>
      <c r="R222" s="42" t="str">
        <f aca="false">IF(M222&gt;0,IFERROR(Q222/O222,"-"),"-")</f>
        <v>-</v>
      </c>
      <c r="S222" s="41" t="n">
        <f aca="false">IF(M222&gt;0,ROUND(MAX(G222*1.08,O222*0.97)/100,0)*100,ROUND(G222*1.12/100,0)*100)</f>
        <v>1122200</v>
      </c>
      <c r="T222" s="42" t="n">
        <f aca="false">IFERROR((S222-G222)/S222,"-")</f>
        <v>0.107155587239351</v>
      </c>
    </row>
    <row r="223" customFormat="false" ht="15" hidden="false" customHeight="false" outlineLevel="0" collapsed="false">
      <c r="A223" s="8" t="s">
        <v>1831</v>
      </c>
      <c r="B223" s="8" t="s">
        <v>1830</v>
      </c>
      <c r="C223" s="8" t="s">
        <v>1832</v>
      </c>
      <c r="D223" s="8" t="s">
        <v>38</v>
      </c>
      <c r="E223" s="8" t="n">
        <v>10000</v>
      </c>
      <c r="F223" s="38" t="n">
        <f aca="false">IFERROR(VALUE(SUBSTITUTE(SUBSTITUTE('Pulsa Telkomsel INDOFLAZ'!E2,"Rp. ",""),".","")),'Pulsa Telkomsel INDOFLAZ'!E2)</f>
        <v>10420</v>
      </c>
      <c r="G223" s="38" t="n">
        <f aca="false">IFERROR(VALUE(SUBSTITUTE(SUBSTITUTE('Pulsa Telkomsel INDOFLAZ'!F2,"Rp. ",""),".","")),'Pulsa Telkomsel INDOFLAZ'!F2)</f>
        <v>10318</v>
      </c>
      <c r="H223" s="38" t="n">
        <f aca="false">IFERROR(VALUE(SUBSTITUTE(SUBSTITUTE('Pulsa Telkomsel INDOFLAZ'!G2,"Rp. ",""),".","")),'Pulsa Telkomsel INDOFLAZ'!G2)</f>
        <v>10267</v>
      </c>
      <c r="I223" s="8" t="s">
        <v>2639</v>
      </c>
      <c r="J223" s="38" t="n">
        <f aca="false">'Pulsa Telkomsel OURA STORE'!A4</f>
        <v>12297</v>
      </c>
      <c r="K223" s="39"/>
      <c r="L223" s="39"/>
      <c r="M223" s="8" t="n">
        <f aca="false">COUNT(J223:L223)</f>
        <v>1</v>
      </c>
      <c r="N223" s="40" t="str">
        <f aca="false">IF(M223&gt;0,"Ada","Tidak Ada")</f>
        <v>Ada</v>
      </c>
      <c r="O223" s="41" t="n">
        <f aca="false">IF(M223&gt;0,MIN(J223:L223),"-")</f>
        <v>12297</v>
      </c>
      <c r="P223" s="41" t="n">
        <f aca="false">IF(M223&gt;0,AVERAGE(J223:L223),"-")</f>
        <v>12297</v>
      </c>
      <c r="Q223" s="41" t="n">
        <f aca="false">IF(M223&gt;0,O223-G223,"-")</f>
        <v>1979</v>
      </c>
      <c r="R223" s="42" t="n">
        <f aca="false">IF(M223&gt;0,IFERROR(Q223/O223,"-"),"-")</f>
        <v>0.160933561031146</v>
      </c>
      <c r="S223" s="41" t="n">
        <f aca="false">IF(M223&gt;0,ROUND(MAX(G223*1.08,O223*0.97)/100,0)*100,ROUND(G223*1.12/100,0)*100)</f>
        <v>11900</v>
      </c>
      <c r="T223" s="42" t="n">
        <f aca="false">IFERROR((S223-G223)/S223,"-")</f>
        <v>0.132941176470588</v>
      </c>
    </row>
    <row r="224" customFormat="false" ht="15" hidden="false" customHeight="false" outlineLevel="0" collapsed="false">
      <c r="A224" s="8" t="s">
        <v>1831</v>
      </c>
      <c r="B224" s="8" t="s">
        <v>1837</v>
      </c>
      <c r="C224" s="8" t="s">
        <v>1832</v>
      </c>
      <c r="D224" s="8" t="s">
        <v>38</v>
      </c>
      <c r="E224" s="8" t="n">
        <v>10000</v>
      </c>
      <c r="F224" s="38" t="n">
        <f aca="false">IFERROR(VALUE(SUBSTITUTE(SUBSTITUTE('Pulsa Telkomsel INDOFLAZ'!E3,"Rp. ",""),".","")),'Pulsa Telkomsel INDOFLAZ'!E3)</f>
        <v>10715</v>
      </c>
      <c r="G224" s="38" t="n">
        <f aca="false">IFERROR(VALUE(SUBSTITUTE(SUBSTITUTE('Pulsa Telkomsel INDOFLAZ'!F3,"Rp. ",""),".","")),'Pulsa Telkomsel INDOFLAZ'!F3)</f>
        <v>10515</v>
      </c>
      <c r="H224" s="38" t="n">
        <f aca="false">IFERROR(VALUE(SUBSTITUTE(SUBSTITUTE('Pulsa Telkomsel INDOFLAZ'!G3,"Rp. ",""),".","")),'Pulsa Telkomsel INDOFLAZ'!G3)</f>
        <v>10315</v>
      </c>
      <c r="I224" s="8" t="s">
        <v>2639</v>
      </c>
      <c r="J224" s="38" t="n">
        <f aca="false">'Pulsa Telkomsel OURA STORE'!A4</f>
        <v>12297</v>
      </c>
      <c r="K224" s="39"/>
      <c r="L224" s="39"/>
      <c r="M224" s="8" t="n">
        <f aca="false">COUNT(J224:L224)</f>
        <v>1</v>
      </c>
      <c r="N224" s="40" t="str">
        <f aca="false">IF(M224&gt;0,"Ada","Tidak Ada")</f>
        <v>Ada</v>
      </c>
      <c r="O224" s="41" t="n">
        <f aca="false">IF(M224&gt;0,MIN(J224:L224),"-")</f>
        <v>12297</v>
      </c>
      <c r="P224" s="41" t="n">
        <f aca="false">IF(M224&gt;0,AVERAGE(J224:L224),"-")</f>
        <v>12297</v>
      </c>
      <c r="Q224" s="41" t="n">
        <f aca="false">IF(M224&gt;0,O224-G224,"-")</f>
        <v>1782</v>
      </c>
      <c r="R224" s="42" t="n">
        <f aca="false">IF(M224&gt;0,IFERROR(Q224/O224,"-"),"-")</f>
        <v>0.144913393510612</v>
      </c>
      <c r="S224" s="41" t="n">
        <f aca="false">IF(M224&gt;0,ROUND(MAX(G224*1.08,O224*0.97)/100,0)*100,ROUND(G224*1.12/100,0)*100)</f>
        <v>11900</v>
      </c>
      <c r="T224" s="42" t="n">
        <f aca="false">IFERROR((S224-G224)/S224,"-")</f>
        <v>0.116386554621849</v>
      </c>
    </row>
    <row r="225" customFormat="false" ht="15" hidden="false" customHeight="false" outlineLevel="0" collapsed="false">
      <c r="A225" s="8" t="s">
        <v>1831</v>
      </c>
      <c r="B225" s="8" t="s">
        <v>1842</v>
      </c>
      <c r="C225" s="8" t="s">
        <v>1843</v>
      </c>
      <c r="D225" s="8" t="s">
        <v>38</v>
      </c>
      <c r="E225" s="8" t="n">
        <v>15000</v>
      </c>
      <c r="F225" s="38" t="n">
        <f aca="false">IFERROR(VALUE(SUBSTITUTE(SUBSTITUTE('Pulsa Telkomsel INDOFLAZ'!E4,"Rp. ",""),".","")),'Pulsa Telkomsel INDOFLAZ'!E4)</f>
        <v>15178</v>
      </c>
      <c r="G225" s="38" t="n">
        <f aca="false">IFERROR(VALUE(SUBSTITUTE(SUBSTITUTE('Pulsa Telkomsel INDOFLAZ'!F4,"Rp. ",""),".","")),'Pulsa Telkomsel INDOFLAZ'!F4)</f>
        <v>15029</v>
      </c>
      <c r="H225" s="38" t="n">
        <f aca="false">IFERROR(VALUE(SUBSTITUTE(SUBSTITUTE('Pulsa Telkomsel INDOFLAZ'!G4,"Rp. ",""),".","")),'Pulsa Telkomsel INDOFLAZ'!G4)</f>
        <v>14955</v>
      </c>
      <c r="I225" s="8" t="s">
        <v>2625</v>
      </c>
      <c r="J225" s="39"/>
      <c r="K225" s="39"/>
      <c r="L225" s="39"/>
      <c r="M225" s="8" t="n">
        <f aca="false">COUNT(J225:L225)</f>
        <v>0</v>
      </c>
      <c r="N225" s="40" t="str">
        <f aca="false">IF(M225&gt;0,"Ada","Tidak Ada")</f>
        <v>Tidak Ada</v>
      </c>
      <c r="O225" s="41" t="str">
        <f aca="false">IF(M225&gt;0,MIN(J225:L225),"-")</f>
        <v>-</v>
      </c>
      <c r="P225" s="41" t="str">
        <f aca="false">IF(M225&gt;0,AVERAGE(J225:L225),"-")</f>
        <v>-</v>
      </c>
      <c r="Q225" s="41" t="str">
        <f aca="false">IF(M225&gt;0,O225-G225,"-")</f>
        <v>-</v>
      </c>
      <c r="R225" s="42" t="str">
        <f aca="false">IF(M225&gt;0,IFERROR(Q225/O225,"-"),"-")</f>
        <v>-</v>
      </c>
      <c r="S225" s="41" t="n">
        <f aca="false">IF(M225&gt;0,ROUND(MAX(G225*1.08,O225*0.97)/100,0)*100,ROUND(G225*1.12/100,0)*100)</f>
        <v>16800</v>
      </c>
      <c r="T225" s="42" t="n">
        <f aca="false">IFERROR((S225-G225)/S225,"-")</f>
        <v>0.105416666666667</v>
      </c>
    </row>
    <row r="226" customFormat="false" ht="15" hidden="false" customHeight="false" outlineLevel="0" collapsed="false">
      <c r="A226" s="8" t="s">
        <v>1831</v>
      </c>
      <c r="B226" s="8" t="s">
        <v>1848</v>
      </c>
      <c r="C226" s="8" t="s">
        <v>1843</v>
      </c>
      <c r="D226" s="8" t="s">
        <v>38</v>
      </c>
      <c r="E226" s="8" t="n">
        <v>15000</v>
      </c>
      <c r="F226" s="38" t="n">
        <f aca="false">IFERROR(VALUE(SUBSTITUTE(SUBSTITUTE('Pulsa Telkomsel INDOFLAZ'!E5,"Rp. ",""),".","")),'Pulsa Telkomsel INDOFLAZ'!E5)</f>
        <v>15380</v>
      </c>
      <c r="G226" s="38" t="n">
        <f aca="false">IFERROR(VALUE(SUBSTITUTE(SUBSTITUTE('Pulsa Telkomsel INDOFLAZ'!F5,"Rp. ",""),".","")),'Pulsa Telkomsel INDOFLAZ'!F5)</f>
        <v>15180</v>
      </c>
      <c r="H226" s="38" t="n">
        <f aca="false">IFERROR(VALUE(SUBSTITUTE(SUBSTITUTE('Pulsa Telkomsel INDOFLAZ'!G5,"Rp. ",""),".","")),'Pulsa Telkomsel INDOFLAZ'!G5)</f>
        <v>14980</v>
      </c>
      <c r="I226" s="8" t="s">
        <v>2625</v>
      </c>
      <c r="J226" s="39"/>
      <c r="K226" s="39"/>
      <c r="L226" s="39"/>
      <c r="M226" s="8" t="n">
        <f aca="false">COUNT(J226:L226)</f>
        <v>0</v>
      </c>
      <c r="N226" s="40" t="str">
        <f aca="false">IF(M226&gt;0,"Ada","Tidak Ada")</f>
        <v>Tidak Ada</v>
      </c>
      <c r="O226" s="41" t="str">
        <f aca="false">IF(M226&gt;0,MIN(J226:L226),"-")</f>
        <v>-</v>
      </c>
      <c r="P226" s="41" t="str">
        <f aca="false">IF(M226&gt;0,AVERAGE(J226:L226),"-")</f>
        <v>-</v>
      </c>
      <c r="Q226" s="41" t="str">
        <f aca="false">IF(M226&gt;0,O226-G226,"-")</f>
        <v>-</v>
      </c>
      <c r="R226" s="42" t="str">
        <f aca="false">IF(M226&gt;0,IFERROR(Q226/O226,"-"),"-")</f>
        <v>-</v>
      </c>
      <c r="S226" s="41" t="n">
        <f aca="false">IF(M226&gt;0,ROUND(MAX(G226*1.08,O226*0.97)/100,0)*100,ROUND(G226*1.12/100,0)*100)</f>
        <v>17000</v>
      </c>
      <c r="T226" s="42" t="n">
        <f aca="false">IFERROR((S226-G226)/S226,"-")</f>
        <v>0.107058823529412</v>
      </c>
    </row>
    <row r="227" customFormat="false" ht="15" hidden="false" customHeight="false" outlineLevel="0" collapsed="false">
      <c r="A227" s="8" t="s">
        <v>1831</v>
      </c>
      <c r="B227" s="8" t="s">
        <v>1853</v>
      </c>
      <c r="C227" s="8" t="s">
        <v>1854</v>
      </c>
      <c r="D227" s="8" t="s">
        <v>38</v>
      </c>
      <c r="E227" s="8" t="n">
        <v>20000</v>
      </c>
      <c r="F227" s="38" t="n">
        <f aca="false">IFERROR(VALUE(SUBSTITUTE(SUBSTITUTE('Pulsa Telkomsel INDOFLAZ'!E6,"Rp. ",""),".","")),'Pulsa Telkomsel INDOFLAZ'!E6)</f>
        <v>20089</v>
      </c>
      <c r="G227" s="38" t="n">
        <f aca="false">IFERROR(VALUE(SUBSTITUTE(SUBSTITUTE('Pulsa Telkomsel INDOFLAZ'!F6,"Rp. ",""),".","")),'Pulsa Telkomsel INDOFLAZ'!F6)</f>
        <v>19892</v>
      </c>
      <c r="H227" s="38" t="n">
        <f aca="false">IFERROR(VALUE(SUBSTITUTE(SUBSTITUTE('Pulsa Telkomsel INDOFLAZ'!G6,"Rp. ",""),".","")),'Pulsa Telkomsel INDOFLAZ'!G6)</f>
        <v>19794</v>
      </c>
      <c r="I227" s="8" t="s">
        <v>2639</v>
      </c>
      <c r="J227" s="38" t="n">
        <f aca="false">'Pulsa Telkomsel OURA STORE'!A6</f>
        <v>21999</v>
      </c>
      <c r="K227" s="39"/>
      <c r="L227" s="39"/>
      <c r="M227" s="8" t="n">
        <f aca="false">COUNT(J227:L227)</f>
        <v>1</v>
      </c>
      <c r="N227" s="40" t="str">
        <f aca="false">IF(M227&gt;0,"Ada","Tidak Ada")</f>
        <v>Ada</v>
      </c>
      <c r="O227" s="41" t="n">
        <f aca="false">IF(M227&gt;0,MIN(J227:L227),"-")</f>
        <v>21999</v>
      </c>
      <c r="P227" s="41" t="n">
        <f aca="false">IF(M227&gt;0,AVERAGE(J227:L227),"-")</f>
        <v>21999</v>
      </c>
      <c r="Q227" s="41" t="n">
        <f aca="false">IF(M227&gt;0,O227-G227,"-")</f>
        <v>2107</v>
      </c>
      <c r="R227" s="42" t="n">
        <f aca="false">IF(M227&gt;0,IFERROR(Q227/O227,"-"),"-")</f>
        <v>0.0957770807763989</v>
      </c>
      <c r="S227" s="41" t="n">
        <f aca="false">IF(M227&gt;0,ROUND(MAX(G227*1.08,O227*0.97)/100,0)*100,ROUND(G227*1.12/100,0)*100)</f>
        <v>21500</v>
      </c>
      <c r="T227" s="42" t="n">
        <f aca="false">IFERROR((S227-G227)/S227,"-")</f>
        <v>0.0747906976744186</v>
      </c>
    </row>
    <row r="228" customFormat="false" ht="15" hidden="false" customHeight="false" outlineLevel="0" collapsed="false">
      <c r="A228" s="8" t="s">
        <v>1831</v>
      </c>
      <c r="B228" s="8" t="s">
        <v>1859</v>
      </c>
      <c r="C228" s="8" t="s">
        <v>1854</v>
      </c>
      <c r="D228" s="8" t="s">
        <v>38</v>
      </c>
      <c r="E228" s="8" t="n">
        <v>20000</v>
      </c>
      <c r="F228" s="38" t="n">
        <f aca="false">IFERROR(VALUE(SUBSTITUTE(SUBSTITUTE('Pulsa Telkomsel INDOFLAZ'!E7,"Rp. ",""),".","")),'Pulsa Telkomsel INDOFLAZ'!E7)</f>
        <v>20195</v>
      </c>
      <c r="G228" s="38" t="n">
        <f aca="false">IFERROR(VALUE(SUBSTITUTE(SUBSTITUTE('Pulsa Telkomsel INDOFLAZ'!F7,"Rp. ",""),".","")),'Pulsa Telkomsel INDOFLAZ'!F7)</f>
        <v>19995</v>
      </c>
      <c r="H228" s="38" t="n">
        <f aca="false">IFERROR(VALUE(SUBSTITUTE(SUBSTITUTE('Pulsa Telkomsel INDOFLAZ'!G7,"Rp. ",""),".","")),'Pulsa Telkomsel INDOFLAZ'!G7)</f>
        <v>19795</v>
      </c>
      <c r="I228" s="8" t="s">
        <v>2639</v>
      </c>
      <c r="J228" s="38" t="n">
        <f aca="false">'Pulsa Telkomsel OURA STORE'!A6</f>
        <v>21999</v>
      </c>
      <c r="K228" s="39"/>
      <c r="L228" s="39"/>
      <c r="M228" s="8" t="n">
        <f aca="false">COUNT(J228:L228)</f>
        <v>1</v>
      </c>
      <c r="N228" s="40" t="str">
        <f aca="false">IF(M228&gt;0,"Ada","Tidak Ada")</f>
        <v>Ada</v>
      </c>
      <c r="O228" s="41" t="n">
        <f aca="false">IF(M228&gt;0,MIN(J228:L228),"-")</f>
        <v>21999</v>
      </c>
      <c r="P228" s="41" t="n">
        <f aca="false">IF(M228&gt;0,AVERAGE(J228:L228),"-")</f>
        <v>21999</v>
      </c>
      <c r="Q228" s="41" t="n">
        <f aca="false">IF(M228&gt;0,O228-G228,"-")</f>
        <v>2004</v>
      </c>
      <c r="R228" s="42" t="n">
        <f aca="false">IF(M228&gt;0,IFERROR(Q228/O228,"-"),"-")</f>
        <v>0.0910950497749898</v>
      </c>
      <c r="S228" s="41" t="n">
        <f aca="false">IF(M228&gt;0,ROUND(MAX(G228*1.08,O228*0.97)/100,0)*100,ROUND(G228*1.12/100,0)*100)</f>
        <v>21600</v>
      </c>
      <c r="T228" s="42" t="n">
        <f aca="false">IFERROR((S228-G228)/S228,"-")</f>
        <v>0.0743055555555556</v>
      </c>
    </row>
    <row r="229" customFormat="false" ht="15" hidden="false" customHeight="false" outlineLevel="0" collapsed="false">
      <c r="A229" s="8" t="s">
        <v>1831</v>
      </c>
      <c r="B229" s="8" t="s">
        <v>1864</v>
      </c>
      <c r="C229" s="8" t="s">
        <v>1865</v>
      </c>
      <c r="D229" s="8" t="s">
        <v>38</v>
      </c>
      <c r="E229" s="8" t="n">
        <v>25000</v>
      </c>
      <c r="F229" s="38" t="n">
        <f aca="false">IFERROR(VALUE(SUBSTITUTE(SUBSTITUTE('Pulsa Telkomsel INDOFLAZ'!E8,"Rp. ",""),".","")),'Pulsa Telkomsel INDOFLAZ'!E8)</f>
        <v>25414</v>
      </c>
      <c r="G229" s="38" t="n">
        <f aca="false">IFERROR(VALUE(SUBSTITUTE(SUBSTITUTE('Pulsa Telkomsel INDOFLAZ'!F8,"Rp. ",""),".","")),'Pulsa Telkomsel INDOFLAZ'!F8)</f>
        <v>25165</v>
      </c>
      <c r="H229" s="38" t="n">
        <f aca="false">IFERROR(VALUE(SUBSTITUTE(SUBSTITUTE('Pulsa Telkomsel INDOFLAZ'!G8,"Rp. ",""),".","")),'Pulsa Telkomsel INDOFLAZ'!G8)</f>
        <v>25040</v>
      </c>
      <c r="I229" s="8" t="s">
        <v>2639</v>
      </c>
      <c r="J229" s="38" t="n">
        <f aca="false">'Pulsa Telkomsel OURA STORE'!A8</f>
        <v>26986</v>
      </c>
      <c r="K229" s="39"/>
      <c r="L229" s="39"/>
      <c r="M229" s="8" t="n">
        <f aca="false">COUNT(J229:L229)</f>
        <v>1</v>
      </c>
      <c r="N229" s="40" t="str">
        <f aca="false">IF(M229&gt;0,"Ada","Tidak Ada")</f>
        <v>Ada</v>
      </c>
      <c r="O229" s="41" t="n">
        <f aca="false">IF(M229&gt;0,MIN(J229:L229),"-")</f>
        <v>26986</v>
      </c>
      <c r="P229" s="41" t="n">
        <f aca="false">IF(M229&gt;0,AVERAGE(J229:L229),"-")</f>
        <v>26986</v>
      </c>
      <c r="Q229" s="41" t="n">
        <f aca="false">IF(M229&gt;0,O229-G229,"-")</f>
        <v>1821</v>
      </c>
      <c r="R229" s="42" t="n">
        <f aca="false">IF(M229&gt;0,IFERROR(Q229/O229,"-"),"-")</f>
        <v>0.0674794337804788</v>
      </c>
      <c r="S229" s="41" t="n">
        <f aca="false">IF(M229&gt;0,ROUND(MAX(G229*1.08,O229*0.97)/100,0)*100,ROUND(G229*1.12/100,0)*100)</f>
        <v>27200</v>
      </c>
      <c r="T229" s="42" t="n">
        <f aca="false">IFERROR((S229-G229)/S229,"-")</f>
        <v>0.0748161764705882</v>
      </c>
    </row>
    <row r="230" customFormat="false" ht="15" hidden="false" customHeight="false" outlineLevel="0" collapsed="false">
      <c r="A230" s="8" t="s">
        <v>1831</v>
      </c>
      <c r="B230" s="8" t="s">
        <v>1870</v>
      </c>
      <c r="C230" s="8" t="s">
        <v>1865</v>
      </c>
      <c r="D230" s="8" t="s">
        <v>38</v>
      </c>
      <c r="E230" s="8" t="n">
        <v>25000</v>
      </c>
      <c r="F230" s="38" t="n">
        <f aca="false">IFERROR(VALUE(SUBSTITUTE(SUBSTITUTE('Pulsa Telkomsel INDOFLAZ'!E9,"Rp. ",""),".","")),'Pulsa Telkomsel INDOFLAZ'!E9)</f>
        <v>25415</v>
      </c>
      <c r="G230" s="38" t="n">
        <f aca="false">IFERROR(VALUE(SUBSTITUTE(SUBSTITUTE('Pulsa Telkomsel INDOFLAZ'!F9,"Rp. ",""),".","")),'Pulsa Telkomsel INDOFLAZ'!F9)</f>
        <v>25215</v>
      </c>
      <c r="H230" s="38" t="n">
        <f aca="false">IFERROR(VALUE(SUBSTITUTE(SUBSTITUTE('Pulsa Telkomsel INDOFLAZ'!G9,"Rp. ",""),".","")),'Pulsa Telkomsel INDOFLAZ'!G9)</f>
        <v>25015</v>
      </c>
      <c r="I230" s="8" t="s">
        <v>2639</v>
      </c>
      <c r="J230" s="38" t="n">
        <f aca="false">'Pulsa Telkomsel OURA STORE'!A8</f>
        <v>26986</v>
      </c>
      <c r="K230" s="39"/>
      <c r="L230" s="39"/>
      <c r="M230" s="8" t="n">
        <f aca="false">COUNT(J230:L230)</f>
        <v>1</v>
      </c>
      <c r="N230" s="40" t="str">
        <f aca="false">IF(M230&gt;0,"Ada","Tidak Ada")</f>
        <v>Ada</v>
      </c>
      <c r="O230" s="41" t="n">
        <f aca="false">IF(M230&gt;0,MIN(J230:L230),"-")</f>
        <v>26986</v>
      </c>
      <c r="P230" s="41" t="n">
        <f aca="false">IF(M230&gt;0,AVERAGE(J230:L230),"-")</f>
        <v>26986</v>
      </c>
      <c r="Q230" s="41" t="n">
        <f aca="false">IF(M230&gt;0,O230-G230,"-")</f>
        <v>1771</v>
      </c>
      <c r="R230" s="42" t="n">
        <f aca="false">IF(M230&gt;0,IFERROR(Q230/O230,"-"),"-")</f>
        <v>0.0656266212109983</v>
      </c>
      <c r="S230" s="41" t="n">
        <f aca="false">IF(M230&gt;0,ROUND(MAX(G230*1.08,O230*0.97)/100,0)*100,ROUND(G230*1.12/100,0)*100)</f>
        <v>27200</v>
      </c>
      <c r="T230" s="42" t="n">
        <f aca="false">IFERROR((S230-G230)/S230,"-")</f>
        <v>0.0729779411764706</v>
      </c>
    </row>
    <row r="231" customFormat="false" ht="15" hidden="false" customHeight="false" outlineLevel="0" collapsed="false">
      <c r="A231" s="8" t="s">
        <v>1831</v>
      </c>
      <c r="B231" s="8" t="s">
        <v>1875</v>
      </c>
      <c r="C231" s="8" t="s">
        <v>1876</v>
      </c>
      <c r="D231" s="8" t="s">
        <v>38</v>
      </c>
      <c r="E231" s="8" t="n">
        <v>30000</v>
      </c>
      <c r="F231" s="38" t="n">
        <f aca="false">IFERROR(VALUE(SUBSTITUTE(SUBSTITUTE('Pulsa Telkomsel INDOFLAZ'!E10,"Rp. ",""),".","")),'Pulsa Telkomsel INDOFLAZ'!E10)</f>
        <v>29925</v>
      </c>
      <c r="G231" s="38" t="n">
        <f aca="false">IFERROR(VALUE(SUBSTITUTE(SUBSTITUTE('Pulsa Telkomsel INDOFLAZ'!F10,"Rp. ",""),".","")),'Pulsa Telkomsel INDOFLAZ'!F10)</f>
        <v>29725</v>
      </c>
      <c r="H231" s="38" t="n">
        <f aca="false">IFERROR(VALUE(SUBSTITUTE(SUBSTITUTE('Pulsa Telkomsel INDOFLAZ'!G10,"Rp. ",""),".","")),'Pulsa Telkomsel INDOFLAZ'!G10)</f>
        <v>29525</v>
      </c>
      <c r="I231" s="8" t="s">
        <v>2639</v>
      </c>
      <c r="J231" s="38" t="n">
        <f aca="false">'Pulsa Telkomsel OURA STORE'!A10</f>
        <v>31762</v>
      </c>
      <c r="K231" s="39"/>
      <c r="L231" s="39"/>
      <c r="M231" s="8" t="n">
        <f aca="false">COUNT(J231:L231)</f>
        <v>1</v>
      </c>
      <c r="N231" s="40" t="str">
        <f aca="false">IF(M231&gt;0,"Ada","Tidak Ada")</f>
        <v>Ada</v>
      </c>
      <c r="O231" s="41" t="n">
        <f aca="false">IF(M231&gt;0,MIN(J231:L231),"-")</f>
        <v>31762</v>
      </c>
      <c r="P231" s="41" t="n">
        <f aca="false">IF(M231&gt;0,AVERAGE(J231:L231),"-")</f>
        <v>31762</v>
      </c>
      <c r="Q231" s="41" t="n">
        <f aca="false">IF(M231&gt;0,O231-G231,"-")</f>
        <v>2037</v>
      </c>
      <c r="R231" s="42" t="n">
        <f aca="false">IF(M231&gt;0,IFERROR(Q231/O231,"-"),"-")</f>
        <v>0.0641332409797872</v>
      </c>
      <c r="S231" s="41" t="n">
        <f aca="false">IF(M231&gt;0,ROUND(MAX(G231*1.08,O231*0.97)/100,0)*100,ROUND(G231*1.12/100,0)*100)</f>
        <v>32100</v>
      </c>
      <c r="T231" s="42" t="n">
        <f aca="false">IFERROR((S231-G231)/S231,"-")</f>
        <v>0.07398753894081</v>
      </c>
    </row>
    <row r="232" customFormat="false" ht="15" hidden="false" customHeight="false" outlineLevel="0" collapsed="false">
      <c r="A232" s="8" t="s">
        <v>1831</v>
      </c>
      <c r="B232" s="8" t="s">
        <v>1881</v>
      </c>
      <c r="C232" s="8" t="s">
        <v>1876</v>
      </c>
      <c r="D232" s="8" t="s">
        <v>38</v>
      </c>
      <c r="E232" s="8" t="n">
        <v>30000</v>
      </c>
      <c r="F232" s="38" t="n">
        <f aca="false">IFERROR(VALUE(SUBSTITUTE(SUBSTITUTE('Pulsa Telkomsel INDOFLAZ'!E11,"Rp. ",""),".","")),'Pulsa Telkomsel INDOFLAZ'!E11)</f>
        <v>30014</v>
      </c>
      <c r="G232" s="38" t="n">
        <f aca="false">IFERROR(VALUE(SUBSTITUTE(SUBSTITUTE('Pulsa Telkomsel INDOFLAZ'!F11,"Rp. ",""),".","")),'Pulsa Telkomsel INDOFLAZ'!F11)</f>
        <v>29720</v>
      </c>
      <c r="H232" s="38" t="n">
        <f aca="false">IFERROR(VALUE(SUBSTITUTE(SUBSTITUTE('Pulsa Telkomsel INDOFLAZ'!G11,"Rp. ",""),".","")),'Pulsa Telkomsel INDOFLAZ'!G11)</f>
        <v>29573</v>
      </c>
      <c r="I232" s="8" t="s">
        <v>2639</v>
      </c>
      <c r="J232" s="38" t="n">
        <f aca="false">'Pulsa Telkomsel OURA STORE'!A10</f>
        <v>31762</v>
      </c>
      <c r="K232" s="39"/>
      <c r="L232" s="39"/>
      <c r="M232" s="8" t="n">
        <f aca="false">COUNT(J232:L232)</f>
        <v>1</v>
      </c>
      <c r="N232" s="40" t="str">
        <f aca="false">IF(M232&gt;0,"Ada","Tidak Ada")</f>
        <v>Ada</v>
      </c>
      <c r="O232" s="41" t="n">
        <f aca="false">IF(M232&gt;0,MIN(J232:L232),"-")</f>
        <v>31762</v>
      </c>
      <c r="P232" s="41" t="n">
        <f aca="false">IF(M232&gt;0,AVERAGE(J232:L232),"-")</f>
        <v>31762</v>
      </c>
      <c r="Q232" s="41" t="n">
        <f aca="false">IF(M232&gt;0,O232-G232,"-")</f>
        <v>2042</v>
      </c>
      <c r="R232" s="42" t="n">
        <f aca="false">IF(M232&gt;0,IFERROR(Q232/O232,"-"),"-")</f>
        <v>0.0642906617971161</v>
      </c>
      <c r="S232" s="41" t="n">
        <f aca="false">IF(M232&gt;0,ROUND(MAX(G232*1.08,O232*0.97)/100,0)*100,ROUND(G232*1.12/100,0)*100)</f>
        <v>32100</v>
      </c>
      <c r="T232" s="42" t="n">
        <f aca="false">IFERROR((S232-G232)/S232,"-")</f>
        <v>0.0741433021806854</v>
      </c>
    </row>
    <row r="233" customFormat="false" ht="15" hidden="false" customHeight="false" outlineLevel="0" collapsed="false">
      <c r="A233" s="8" t="s">
        <v>1831</v>
      </c>
      <c r="B233" s="8" t="s">
        <v>1886</v>
      </c>
      <c r="C233" s="8" t="s">
        <v>1887</v>
      </c>
      <c r="D233" s="8" t="s">
        <v>38</v>
      </c>
      <c r="E233" s="8" t="n">
        <v>40000</v>
      </c>
      <c r="F233" s="38" t="n">
        <f aca="false">IFERROR(VALUE(SUBSTITUTE(SUBSTITUTE('Pulsa Telkomsel INDOFLAZ'!E12,"Rp. ",""),".","")),'Pulsa Telkomsel INDOFLAZ'!E12)</f>
        <v>40225</v>
      </c>
      <c r="G233" s="38" t="n">
        <f aca="false">IFERROR(VALUE(SUBSTITUTE(SUBSTITUTE('Pulsa Telkomsel INDOFLAZ'!F12,"Rp. ",""),".","")),'Pulsa Telkomsel INDOFLAZ'!F12)</f>
        <v>40025</v>
      </c>
      <c r="H233" s="38" t="n">
        <f aca="false">IFERROR(VALUE(SUBSTITUTE(SUBSTITUTE('Pulsa Telkomsel INDOFLAZ'!G12,"Rp. ",""),".","")),'Pulsa Telkomsel INDOFLAZ'!G12)</f>
        <v>39825</v>
      </c>
      <c r="I233" s="8" t="s">
        <v>2639</v>
      </c>
      <c r="J233" s="38" t="n">
        <f aca="false">'Pulsa Telkomsel OURA STORE'!A14</f>
        <v>41494</v>
      </c>
      <c r="K233" s="39"/>
      <c r="L233" s="39"/>
      <c r="M233" s="8" t="n">
        <f aca="false">COUNT(J233:L233)</f>
        <v>1</v>
      </c>
      <c r="N233" s="40" t="str">
        <f aca="false">IF(M233&gt;0,"Ada","Tidak Ada")</f>
        <v>Ada</v>
      </c>
      <c r="O233" s="41" t="n">
        <f aca="false">IF(M233&gt;0,MIN(J233:L233),"-")</f>
        <v>41494</v>
      </c>
      <c r="P233" s="41" t="n">
        <f aca="false">IF(M233&gt;0,AVERAGE(J233:L233),"-")</f>
        <v>41494</v>
      </c>
      <c r="Q233" s="41" t="n">
        <f aca="false">IF(M233&gt;0,O233-G233,"-")</f>
        <v>1469</v>
      </c>
      <c r="R233" s="42" t="n">
        <f aca="false">IF(M233&gt;0,IFERROR(Q233/O233,"-"),"-")</f>
        <v>0.0354027088253723</v>
      </c>
      <c r="S233" s="41" t="n">
        <f aca="false">IF(M233&gt;0,ROUND(MAX(G233*1.08,O233*0.97)/100,0)*100,ROUND(G233*1.12/100,0)*100)</f>
        <v>43200</v>
      </c>
      <c r="T233" s="42" t="n">
        <f aca="false">IFERROR((S233-G233)/S233,"-")</f>
        <v>0.0734953703703704</v>
      </c>
    </row>
    <row r="234" customFormat="false" ht="15" hidden="false" customHeight="false" outlineLevel="0" collapsed="false">
      <c r="A234" s="8" t="s">
        <v>1831</v>
      </c>
      <c r="B234" s="8" t="s">
        <v>1892</v>
      </c>
      <c r="C234" s="8" t="s">
        <v>1887</v>
      </c>
      <c r="D234" s="8" t="s">
        <v>38</v>
      </c>
      <c r="E234" s="8" t="n">
        <v>40000</v>
      </c>
      <c r="F234" s="38" t="n">
        <f aca="false">IFERROR(VALUE(SUBSTITUTE(SUBSTITUTE('Pulsa Telkomsel INDOFLAZ'!E13,"Rp. ",""),".","")),'Pulsa Telkomsel INDOFLAZ'!E13)</f>
        <v>40520</v>
      </c>
      <c r="G234" s="38" t="n">
        <f aca="false">IFERROR(VALUE(SUBSTITUTE(SUBSTITUTE('Pulsa Telkomsel INDOFLAZ'!F13,"Rp. ",""),".","")),'Pulsa Telkomsel INDOFLAZ'!F13)</f>
        <v>40123</v>
      </c>
      <c r="H234" s="38" t="n">
        <f aca="false">IFERROR(VALUE(SUBSTITUTE(SUBSTITUTE('Pulsa Telkomsel INDOFLAZ'!G13,"Rp. ",""),".","")),'Pulsa Telkomsel INDOFLAZ'!G13)</f>
        <v>39924</v>
      </c>
      <c r="I234" s="8" t="s">
        <v>2639</v>
      </c>
      <c r="J234" s="38" t="n">
        <f aca="false">'Pulsa Telkomsel OURA STORE'!A14</f>
        <v>41494</v>
      </c>
      <c r="K234" s="39"/>
      <c r="L234" s="39"/>
      <c r="M234" s="8" t="n">
        <f aca="false">COUNT(J234:L234)</f>
        <v>1</v>
      </c>
      <c r="N234" s="40" t="str">
        <f aca="false">IF(M234&gt;0,"Ada","Tidak Ada")</f>
        <v>Ada</v>
      </c>
      <c r="O234" s="41" t="n">
        <f aca="false">IF(M234&gt;0,MIN(J234:L234),"-")</f>
        <v>41494</v>
      </c>
      <c r="P234" s="41" t="n">
        <f aca="false">IF(M234&gt;0,AVERAGE(J234:L234),"-")</f>
        <v>41494</v>
      </c>
      <c r="Q234" s="41" t="n">
        <f aca="false">IF(M234&gt;0,O234-G234,"-")</f>
        <v>1371</v>
      </c>
      <c r="R234" s="42" t="n">
        <f aca="false">IF(M234&gt;0,IFERROR(Q234/O234,"-"),"-")</f>
        <v>0.0330409215790235</v>
      </c>
      <c r="S234" s="41" t="n">
        <f aca="false">IF(M234&gt;0,ROUND(MAX(G234*1.08,O234*0.97)/100,0)*100,ROUND(G234*1.12/100,0)*100)</f>
        <v>43300</v>
      </c>
      <c r="T234" s="42" t="n">
        <f aca="false">IFERROR((S234-G234)/S234,"-")</f>
        <v>0.0733718244803695</v>
      </c>
    </row>
    <row r="235" customFormat="false" ht="15" hidden="false" customHeight="false" outlineLevel="0" collapsed="false">
      <c r="A235" s="8" t="s">
        <v>1831</v>
      </c>
      <c r="B235" s="8" t="s">
        <v>1897</v>
      </c>
      <c r="C235" s="8" t="s">
        <v>1898</v>
      </c>
      <c r="D235" s="8" t="s">
        <v>38</v>
      </c>
      <c r="E235" s="8" t="n">
        <v>50000</v>
      </c>
      <c r="F235" s="38" t="n">
        <f aca="false">IFERROR(VALUE(SUBSTITUTE(SUBSTITUTE('Pulsa Telkomsel INDOFLAZ'!E14,"Rp. ",""),".","")),'Pulsa Telkomsel INDOFLAZ'!E14)</f>
        <v>49960</v>
      </c>
      <c r="G235" s="38" t="n">
        <f aca="false">IFERROR(VALUE(SUBSTITUTE(SUBSTITUTE('Pulsa Telkomsel INDOFLAZ'!F14,"Rp. ",""),".","")),'Pulsa Telkomsel INDOFLAZ'!F14)</f>
        <v>49760</v>
      </c>
      <c r="H235" s="38" t="n">
        <f aca="false">IFERROR(VALUE(SUBSTITUTE(SUBSTITUTE('Pulsa Telkomsel INDOFLAZ'!G14,"Rp. ",""),".","")),'Pulsa Telkomsel INDOFLAZ'!G14)</f>
        <v>49560</v>
      </c>
      <c r="I235" s="8" t="s">
        <v>2639</v>
      </c>
      <c r="J235" s="38" t="n">
        <f aca="false">'Pulsa Telkomsel OURA STORE'!A18</f>
        <v>51907</v>
      </c>
      <c r="K235" s="39"/>
      <c r="L235" s="39"/>
      <c r="M235" s="8" t="n">
        <f aca="false">COUNT(J235:L235)</f>
        <v>1</v>
      </c>
      <c r="N235" s="40" t="str">
        <f aca="false">IF(M235&gt;0,"Ada","Tidak Ada")</f>
        <v>Ada</v>
      </c>
      <c r="O235" s="41" t="n">
        <f aca="false">IF(M235&gt;0,MIN(J235:L235),"-")</f>
        <v>51907</v>
      </c>
      <c r="P235" s="41" t="n">
        <f aca="false">IF(M235&gt;0,AVERAGE(J235:L235),"-")</f>
        <v>51907</v>
      </c>
      <c r="Q235" s="41" t="n">
        <f aca="false">IF(M235&gt;0,O235-G235,"-")</f>
        <v>2147</v>
      </c>
      <c r="R235" s="42" t="n">
        <f aca="false">IF(M235&gt;0,IFERROR(Q235/O235,"-"),"-")</f>
        <v>0.041362436665575</v>
      </c>
      <c r="S235" s="41" t="n">
        <f aca="false">IF(M235&gt;0,ROUND(MAX(G235*1.08,O235*0.97)/100,0)*100,ROUND(G235*1.12/100,0)*100)</f>
        <v>53700</v>
      </c>
      <c r="T235" s="42" t="n">
        <f aca="false">IFERROR((S235-G235)/S235,"-")</f>
        <v>0.0733705772811918</v>
      </c>
    </row>
    <row r="236" customFormat="false" ht="15" hidden="false" customHeight="false" outlineLevel="0" collapsed="false">
      <c r="A236" s="8" t="s">
        <v>1831</v>
      </c>
      <c r="B236" s="8" t="s">
        <v>1903</v>
      </c>
      <c r="C236" s="8" t="s">
        <v>1898</v>
      </c>
      <c r="D236" s="8" t="s">
        <v>38</v>
      </c>
      <c r="E236" s="8" t="n">
        <v>50000</v>
      </c>
      <c r="F236" s="38" t="n">
        <f aca="false">IFERROR(VALUE(SUBSTITUTE(SUBSTITUTE('Pulsa Telkomsel INDOFLAZ'!E15,"Rp. ",""),".","")),'Pulsa Telkomsel INDOFLAZ'!E15)</f>
        <v>50450</v>
      </c>
      <c r="G236" s="38" t="n">
        <f aca="false">IFERROR(VALUE(SUBSTITUTE(SUBSTITUTE('Pulsa Telkomsel INDOFLAZ'!F15,"Rp. ",""),".","")),'Pulsa Telkomsel INDOFLAZ'!F15)</f>
        <v>49955</v>
      </c>
      <c r="H236" s="38" t="n">
        <f aca="false">IFERROR(VALUE(SUBSTITUTE(SUBSTITUTE('Pulsa Telkomsel INDOFLAZ'!G15,"Rp. ",""),".","")),'Pulsa Telkomsel INDOFLAZ'!G15)</f>
        <v>49708</v>
      </c>
      <c r="I236" s="8" t="s">
        <v>2639</v>
      </c>
      <c r="J236" s="38" t="n">
        <f aca="false">'Pulsa Telkomsel OURA STORE'!A18</f>
        <v>51907</v>
      </c>
      <c r="K236" s="39"/>
      <c r="L236" s="39"/>
      <c r="M236" s="8" t="n">
        <f aca="false">COUNT(J236:L236)</f>
        <v>1</v>
      </c>
      <c r="N236" s="40" t="str">
        <f aca="false">IF(M236&gt;0,"Ada","Tidak Ada")</f>
        <v>Ada</v>
      </c>
      <c r="O236" s="41" t="n">
        <f aca="false">IF(M236&gt;0,MIN(J236:L236),"-")</f>
        <v>51907</v>
      </c>
      <c r="P236" s="41" t="n">
        <f aca="false">IF(M236&gt;0,AVERAGE(J236:L236),"-")</f>
        <v>51907</v>
      </c>
      <c r="Q236" s="41" t="n">
        <f aca="false">IF(M236&gt;0,O236-G236,"-")</f>
        <v>1952</v>
      </c>
      <c r="R236" s="42" t="n">
        <f aca="false">IF(M236&gt;0,IFERROR(Q236/O236,"-"),"-")</f>
        <v>0.0376057179185852</v>
      </c>
      <c r="S236" s="41" t="n">
        <f aca="false">IF(M236&gt;0,ROUND(MAX(G236*1.08,O236*0.97)/100,0)*100,ROUND(G236*1.12/100,0)*100)</f>
        <v>54000</v>
      </c>
      <c r="T236" s="42" t="n">
        <f aca="false">IFERROR((S236-G236)/S236,"-")</f>
        <v>0.0749074074074074</v>
      </c>
    </row>
    <row r="237" customFormat="false" ht="15" hidden="false" customHeight="false" outlineLevel="0" collapsed="false">
      <c r="A237" s="8" t="s">
        <v>1831</v>
      </c>
      <c r="B237" s="8" t="s">
        <v>1908</v>
      </c>
      <c r="C237" s="8" t="s">
        <v>1909</v>
      </c>
      <c r="D237" s="8" t="s">
        <v>38</v>
      </c>
      <c r="E237" s="8" t="n">
        <v>75000</v>
      </c>
      <c r="F237" s="38" t="n">
        <f aca="false">IFERROR(VALUE(SUBSTITUTE(SUBSTITUTE('Pulsa Telkomsel INDOFLAZ'!E16,"Rp. ",""),".","")),'Pulsa Telkomsel INDOFLAZ'!E16)</f>
        <v>73950</v>
      </c>
      <c r="G237" s="38" t="n">
        <f aca="false">IFERROR(VALUE(SUBSTITUTE(SUBSTITUTE('Pulsa Telkomsel INDOFLAZ'!F16,"Rp. ",""),".","")),'Pulsa Telkomsel INDOFLAZ'!F16)</f>
        <v>73750</v>
      </c>
      <c r="H237" s="38" t="n">
        <f aca="false">IFERROR(VALUE(SUBSTITUTE(SUBSTITUTE('Pulsa Telkomsel INDOFLAZ'!G16,"Rp. ",""),".","")),'Pulsa Telkomsel INDOFLAZ'!G16)</f>
        <v>73550</v>
      </c>
      <c r="I237" s="8" t="s">
        <v>2639</v>
      </c>
      <c r="J237" s="38" t="n">
        <f aca="false">'Pulsa Telkomsel OURA STORE'!A28</f>
        <v>75487</v>
      </c>
      <c r="K237" s="39"/>
      <c r="L237" s="39"/>
      <c r="M237" s="8" t="n">
        <f aca="false">COUNT(J237:L237)</f>
        <v>1</v>
      </c>
      <c r="N237" s="40" t="str">
        <f aca="false">IF(M237&gt;0,"Ada","Tidak Ada")</f>
        <v>Ada</v>
      </c>
      <c r="O237" s="41" t="n">
        <f aca="false">IF(M237&gt;0,MIN(J237:L237),"-")</f>
        <v>75487</v>
      </c>
      <c r="P237" s="41" t="n">
        <f aca="false">IF(M237&gt;0,AVERAGE(J237:L237),"-")</f>
        <v>75487</v>
      </c>
      <c r="Q237" s="41" t="n">
        <f aca="false">IF(M237&gt;0,O237-G237,"-")</f>
        <v>1737</v>
      </c>
      <c r="R237" s="42" t="n">
        <f aca="false">IF(M237&gt;0,IFERROR(Q237/O237,"-"),"-")</f>
        <v>0.0230105846039715</v>
      </c>
      <c r="S237" s="41" t="n">
        <f aca="false">IF(M237&gt;0,ROUND(MAX(G237*1.08,O237*0.97)/100,0)*100,ROUND(G237*1.12/100,0)*100)</f>
        <v>79700</v>
      </c>
      <c r="T237" s="42" t="n">
        <f aca="false">IFERROR((S237-G237)/S237,"-")</f>
        <v>0.07465495608532</v>
      </c>
    </row>
    <row r="238" customFormat="false" ht="15" hidden="false" customHeight="false" outlineLevel="0" collapsed="false">
      <c r="A238" s="8" t="s">
        <v>1831</v>
      </c>
      <c r="B238" s="8" t="s">
        <v>1914</v>
      </c>
      <c r="C238" s="8" t="s">
        <v>1909</v>
      </c>
      <c r="D238" s="8" t="s">
        <v>38</v>
      </c>
      <c r="E238" s="8" t="n">
        <v>75000</v>
      </c>
      <c r="F238" s="38" t="n">
        <f aca="false">IFERROR(VALUE(SUBSTITUTE(SUBSTITUTE('Pulsa Telkomsel INDOFLAZ'!E17,"Rp. ",""),".","")),'Pulsa Telkomsel INDOFLAZ'!E17)</f>
        <v>74919</v>
      </c>
      <c r="G238" s="38" t="n">
        <f aca="false">IFERROR(VALUE(SUBSTITUTE(SUBSTITUTE('Pulsa Telkomsel INDOFLAZ'!F17,"Rp. ",""),".","")),'Pulsa Telkomsel INDOFLAZ'!F17)</f>
        <v>74185</v>
      </c>
      <c r="H238" s="38" t="n">
        <f aca="false">IFERROR(VALUE(SUBSTITUTE(SUBSTITUTE('Pulsa Telkomsel INDOFLAZ'!G17,"Rp. ",""),".","")),'Pulsa Telkomsel INDOFLAZ'!G17)</f>
        <v>73818</v>
      </c>
      <c r="I238" s="8" t="s">
        <v>2639</v>
      </c>
      <c r="J238" s="38" t="n">
        <f aca="false">'Pulsa Telkomsel OURA STORE'!A28</f>
        <v>75487</v>
      </c>
      <c r="K238" s="39"/>
      <c r="L238" s="39"/>
      <c r="M238" s="8" t="n">
        <f aca="false">COUNT(J238:L238)</f>
        <v>1</v>
      </c>
      <c r="N238" s="40" t="str">
        <f aca="false">IF(M238&gt;0,"Ada","Tidak Ada")</f>
        <v>Ada</v>
      </c>
      <c r="O238" s="41" t="n">
        <f aca="false">IF(M238&gt;0,MIN(J238:L238),"-")</f>
        <v>75487</v>
      </c>
      <c r="P238" s="41" t="n">
        <f aca="false">IF(M238&gt;0,AVERAGE(J238:L238),"-")</f>
        <v>75487</v>
      </c>
      <c r="Q238" s="41" t="n">
        <f aca="false">IF(M238&gt;0,O238-G238,"-")</f>
        <v>1302</v>
      </c>
      <c r="R238" s="42" t="n">
        <f aca="false">IF(M238&gt;0,IFERROR(Q238/O238,"-"),"-")</f>
        <v>0.0172480029673984</v>
      </c>
      <c r="S238" s="41" t="n">
        <f aca="false">IF(M238&gt;0,ROUND(MAX(G238*1.08,O238*0.97)/100,0)*100,ROUND(G238*1.12/100,0)*100)</f>
        <v>80100</v>
      </c>
      <c r="T238" s="42" t="n">
        <f aca="false">IFERROR((S238-G238)/S238,"-")</f>
        <v>0.0738451935081149</v>
      </c>
    </row>
    <row r="239" customFormat="false" ht="15" hidden="false" customHeight="false" outlineLevel="0" collapsed="false">
      <c r="A239" s="8" t="s">
        <v>1831</v>
      </c>
      <c r="B239" s="8" t="s">
        <v>1919</v>
      </c>
      <c r="C239" s="8" t="s">
        <v>1920</v>
      </c>
      <c r="D239" s="8" t="s">
        <v>38</v>
      </c>
      <c r="E239" s="8" t="n">
        <v>80000</v>
      </c>
      <c r="F239" s="38" t="n">
        <f aca="false">IFERROR(VALUE(SUBSTITUTE(SUBSTITUTE('Pulsa Telkomsel INDOFLAZ'!E18,"Rp. ",""),".","")),'Pulsa Telkomsel INDOFLAZ'!E18)</f>
        <v>79775</v>
      </c>
      <c r="G239" s="38" t="n">
        <f aca="false">IFERROR(VALUE(SUBSTITUTE(SUBSTITUTE('Pulsa Telkomsel INDOFLAZ'!F18,"Rp. ",""),".","")),'Pulsa Telkomsel INDOFLAZ'!F18)</f>
        <v>79575</v>
      </c>
      <c r="H239" s="38" t="n">
        <f aca="false">IFERROR(VALUE(SUBSTITUTE(SUBSTITUTE('Pulsa Telkomsel INDOFLAZ'!G18,"Rp. ",""),".","")),'Pulsa Telkomsel INDOFLAZ'!G18)</f>
        <v>79375</v>
      </c>
      <c r="I239" s="8" t="s">
        <v>2639</v>
      </c>
      <c r="J239" s="38" t="n">
        <f aca="false">'Pulsa Telkomsel OURA STORE'!A30</f>
        <v>81849</v>
      </c>
      <c r="K239" s="39"/>
      <c r="L239" s="39"/>
      <c r="M239" s="8" t="n">
        <f aca="false">COUNT(J239:L239)</f>
        <v>1</v>
      </c>
      <c r="N239" s="40" t="str">
        <f aca="false">IF(M239&gt;0,"Ada","Tidak Ada")</f>
        <v>Ada</v>
      </c>
      <c r="O239" s="41" t="n">
        <f aca="false">IF(M239&gt;0,MIN(J239:L239),"-")</f>
        <v>81849</v>
      </c>
      <c r="P239" s="41" t="n">
        <f aca="false">IF(M239&gt;0,AVERAGE(J239:L239),"-")</f>
        <v>81849</v>
      </c>
      <c r="Q239" s="41" t="n">
        <f aca="false">IF(M239&gt;0,O239-G239,"-")</f>
        <v>2274</v>
      </c>
      <c r="R239" s="42" t="n">
        <f aca="false">IF(M239&gt;0,IFERROR(Q239/O239,"-"),"-")</f>
        <v>0.0277828684528827</v>
      </c>
      <c r="S239" s="41" t="n">
        <f aca="false">IF(M239&gt;0,ROUND(MAX(G239*1.08,O239*0.97)/100,0)*100,ROUND(G239*1.12/100,0)*100)</f>
        <v>85900</v>
      </c>
      <c r="T239" s="42" t="n">
        <f aca="false">IFERROR((S239-G239)/S239,"-")</f>
        <v>0.0736321303841676</v>
      </c>
    </row>
    <row r="240" customFormat="false" ht="15" hidden="false" customHeight="false" outlineLevel="0" collapsed="false">
      <c r="A240" s="8" t="s">
        <v>1831</v>
      </c>
      <c r="B240" s="8" t="s">
        <v>1925</v>
      </c>
      <c r="C240" s="8" t="s">
        <v>1920</v>
      </c>
      <c r="D240" s="8" t="s">
        <v>38</v>
      </c>
      <c r="E240" s="8" t="n">
        <v>80000</v>
      </c>
      <c r="F240" s="38" t="n">
        <f aca="false">IFERROR(VALUE(SUBSTITUTE(SUBSTITUTE('Pulsa Telkomsel INDOFLAZ'!E19,"Rp. ",""),".","")),'Pulsa Telkomsel INDOFLAZ'!E19)</f>
        <v>80861</v>
      </c>
      <c r="G240" s="38" t="n">
        <f aca="false">IFERROR(VALUE(SUBSTITUTE(SUBSTITUTE('Pulsa Telkomsel INDOFLAZ'!F19,"Rp. ",""),".","")),'Pulsa Telkomsel INDOFLAZ'!F19)</f>
        <v>80068</v>
      </c>
      <c r="H240" s="38" t="n">
        <f aca="false">IFERROR(VALUE(SUBSTITUTE(SUBSTITUTE('Pulsa Telkomsel INDOFLAZ'!G19,"Rp. ",""),".","")),'Pulsa Telkomsel INDOFLAZ'!G19)</f>
        <v>79672</v>
      </c>
      <c r="I240" s="8" t="s">
        <v>2639</v>
      </c>
      <c r="J240" s="38" t="n">
        <f aca="false">'Pulsa Telkomsel OURA STORE'!A30</f>
        <v>81849</v>
      </c>
      <c r="K240" s="39"/>
      <c r="L240" s="39"/>
      <c r="M240" s="8" t="n">
        <f aca="false">COUNT(J240:L240)</f>
        <v>1</v>
      </c>
      <c r="N240" s="40" t="str">
        <f aca="false">IF(M240&gt;0,"Ada","Tidak Ada")</f>
        <v>Ada</v>
      </c>
      <c r="O240" s="41" t="n">
        <f aca="false">IF(M240&gt;0,MIN(J240:L240),"-")</f>
        <v>81849</v>
      </c>
      <c r="P240" s="41" t="n">
        <f aca="false">IF(M240&gt;0,AVERAGE(J240:L240),"-")</f>
        <v>81849</v>
      </c>
      <c r="Q240" s="41" t="n">
        <f aca="false">IF(M240&gt;0,O240-G240,"-")</f>
        <v>1781</v>
      </c>
      <c r="R240" s="42" t="n">
        <f aca="false">IF(M240&gt;0,IFERROR(Q240/O240,"-"),"-")</f>
        <v>0.0217595816686826</v>
      </c>
      <c r="S240" s="41" t="n">
        <f aca="false">IF(M240&gt;0,ROUND(MAX(G240*1.08,O240*0.97)/100,0)*100,ROUND(G240*1.12/100,0)*100)</f>
        <v>86500</v>
      </c>
      <c r="T240" s="42" t="n">
        <f aca="false">IFERROR((S240-G240)/S240,"-")</f>
        <v>0.0743583815028902</v>
      </c>
    </row>
    <row r="241" customFormat="false" ht="15" hidden="false" customHeight="false" outlineLevel="0" collapsed="false">
      <c r="A241" s="8" t="s">
        <v>1831</v>
      </c>
      <c r="B241" s="8" t="s">
        <v>1930</v>
      </c>
      <c r="C241" s="8" t="s">
        <v>1931</v>
      </c>
      <c r="D241" s="8" t="s">
        <v>38</v>
      </c>
      <c r="E241" s="8" t="n">
        <v>85000</v>
      </c>
      <c r="F241" s="38" t="n">
        <f aca="false">IFERROR(VALUE(SUBSTITUTE(SUBSTITUTE('Pulsa Telkomsel INDOFLAZ'!E20,"Rp. ",""),".","")),'Pulsa Telkomsel INDOFLAZ'!E20)</f>
        <v>84725</v>
      </c>
      <c r="G241" s="38" t="n">
        <f aca="false">IFERROR(VALUE(SUBSTITUTE(SUBSTITUTE('Pulsa Telkomsel INDOFLAZ'!F20,"Rp. ",""),".","")),'Pulsa Telkomsel INDOFLAZ'!F20)</f>
        <v>84525</v>
      </c>
      <c r="H241" s="38" t="n">
        <f aca="false">IFERROR(VALUE(SUBSTITUTE(SUBSTITUTE('Pulsa Telkomsel INDOFLAZ'!G20,"Rp. ",""),".","")),'Pulsa Telkomsel INDOFLAZ'!G20)</f>
        <v>84325</v>
      </c>
      <c r="I241" s="8" t="s">
        <v>2639</v>
      </c>
      <c r="J241" s="38" t="n">
        <f aca="false">'Pulsa Telkomsel OURA STORE'!A32</f>
        <v>86832</v>
      </c>
      <c r="K241" s="39"/>
      <c r="L241" s="39"/>
      <c r="M241" s="8" t="n">
        <f aca="false">COUNT(J241:L241)</f>
        <v>1</v>
      </c>
      <c r="N241" s="40" t="str">
        <f aca="false">IF(M241&gt;0,"Ada","Tidak Ada")</f>
        <v>Ada</v>
      </c>
      <c r="O241" s="41" t="n">
        <f aca="false">IF(M241&gt;0,MIN(J241:L241),"-")</f>
        <v>86832</v>
      </c>
      <c r="P241" s="41" t="n">
        <f aca="false">IF(M241&gt;0,AVERAGE(J241:L241),"-")</f>
        <v>86832</v>
      </c>
      <c r="Q241" s="41" t="n">
        <f aca="false">IF(M241&gt;0,O241-G241,"-")</f>
        <v>2307</v>
      </c>
      <c r="R241" s="42" t="n">
        <f aca="false">IF(M241&gt;0,IFERROR(Q241/O241,"-"),"-")</f>
        <v>0.0265685461580984</v>
      </c>
      <c r="S241" s="41" t="n">
        <f aca="false">IF(M241&gt;0,ROUND(MAX(G241*1.08,O241*0.97)/100,0)*100,ROUND(G241*1.12/100,0)*100)</f>
        <v>91300</v>
      </c>
      <c r="T241" s="42" t="n">
        <f aca="false">IFERROR((S241-G241)/S241,"-")</f>
        <v>0.0742059145673604</v>
      </c>
    </row>
    <row r="242" customFormat="false" ht="15" hidden="false" customHeight="false" outlineLevel="0" collapsed="false">
      <c r="A242" s="8" t="s">
        <v>1831</v>
      </c>
      <c r="B242" s="8" t="s">
        <v>1936</v>
      </c>
      <c r="C242" s="8" t="s">
        <v>1931</v>
      </c>
      <c r="D242" s="8" t="s">
        <v>38</v>
      </c>
      <c r="E242" s="8" t="n">
        <v>85000</v>
      </c>
      <c r="F242" s="38" t="n">
        <f aca="false">IFERROR(VALUE(SUBSTITUTE(SUBSTITUTE('Pulsa Telkomsel INDOFLAZ'!E21,"Rp. ",""),".","")),'Pulsa Telkomsel INDOFLAZ'!E21)</f>
        <v>85910</v>
      </c>
      <c r="G242" s="38" t="n">
        <f aca="false">IFERROR(VALUE(SUBSTITUTE(SUBSTITUTE('Pulsa Telkomsel INDOFLAZ'!F21,"Rp. ",""),".","")),'Pulsa Telkomsel INDOFLAZ'!F21)</f>
        <v>85068</v>
      </c>
      <c r="H242" s="38" t="n">
        <f aca="false">IFERROR(VALUE(SUBSTITUTE(SUBSTITUTE('Pulsa Telkomsel INDOFLAZ'!G21,"Rp. ",""),".","")),'Pulsa Telkomsel INDOFLAZ'!G21)</f>
        <v>84647</v>
      </c>
      <c r="I242" s="8" t="s">
        <v>2639</v>
      </c>
      <c r="J242" s="38" t="n">
        <f aca="false">'Pulsa Telkomsel OURA STORE'!A32</f>
        <v>86832</v>
      </c>
      <c r="K242" s="39"/>
      <c r="L242" s="39"/>
      <c r="M242" s="8" t="n">
        <f aca="false">COUNT(J242:L242)</f>
        <v>1</v>
      </c>
      <c r="N242" s="40" t="str">
        <f aca="false">IF(M242&gt;0,"Ada","Tidak Ada")</f>
        <v>Ada</v>
      </c>
      <c r="O242" s="41" t="n">
        <f aca="false">IF(M242&gt;0,MIN(J242:L242),"-")</f>
        <v>86832</v>
      </c>
      <c r="P242" s="41" t="n">
        <f aca="false">IF(M242&gt;0,AVERAGE(J242:L242),"-")</f>
        <v>86832</v>
      </c>
      <c r="Q242" s="41" t="n">
        <f aca="false">IF(M242&gt;0,O242-G242,"-")</f>
        <v>1764</v>
      </c>
      <c r="R242" s="42" t="n">
        <f aca="false">IF(M242&gt;0,IFERROR(Q242/O242,"-"),"-")</f>
        <v>0.0203150912106136</v>
      </c>
      <c r="S242" s="41" t="n">
        <f aca="false">IF(M242&gt;0,ROUND(MAX(G242*1.08,O242*0.97)/100,0)*100,ROUND(G242*1.12/100,0)*100)</f>
        <v>91900</v>
      </c>
      <c r="T242" s="42" t="n">
        <f aca="false">IFERROR((S242-G242)/S242,"-")</f>
        <v>0.074341675734494</v>
      </c>
    </row>
    <row r="243" customFormat="false" ht="15" hidden="false" customHeight="false" outlineLevel="0" collapsed="false">
      <c r="A243" s="8" t="s">
        <v>1831</v>
      </c>
      <c r="B243" s="8" t="s">
        <v>1941</v>
      </c>
      <c r="C243" s="8" t="s">
        <v>1942</v>
      </c>
      <c r="D243" s="8" t="s">
        <v>38</v>
      </c>
      <c r="E243" s="8" t="n">
        <v>90000</v>
      </c>
      <c r="F243" s="38" t="n">
        <f aca="false">IFERROR(VALUE(SUBSTITUTE(SUBSTITUTE('Pulsa Telkomsel INDOFLAZ'!E22,"Rp. ",""),".","")),'Pulsa Telkomsel INDOFLAZ'!E22)</f>
        <v>89950</v>
      </c>
      <c r="G243" s="38" t="n">
        <f aca="false">IFERROR(VALUE(SUBSTITUTE(SUBSTITUTE('Pulsa Telkomsel INDOFLAZ'!F22,"Rp. ",""),".","")),'Pulsa Telkomsel INDOFLAZ'!F22)</f>
        <v>89750</v>
      </c>
      <c r="H243" s="38" t="n">
        <f aca="false">IFERROR(VALUE(SUBSTITUTE(SUBSTITUTE('Pulsa Telkomsel INDOFLAZ'!G22,"Rp. ",""),".","")),'Pulsa Telkomsel INDOFLAZ'!G22)</f>
        <v>89550</v>
      </c>
      <c r="I243" s="8" t="s">
        <v>2639</v>
      </c>
      <c r="J243" s="38" t="n">
        <f aca="false">'Pulsa Telkomsel OURA STORE'!A34</f>
        <v>91819</v>
      </c>
      <c r="K243" s="39"/>
      <c r="L243" s="39"/>
      <c r="M243" s="8" t="n">
        <f aca="false">COUNT(J243:L243)</f>
        <v>1</v>
      </c>
      <c r="N243" s="40" t="str">
        <f aca="false">IF(M243&gt;0,"Ada","Tidak Ada")</f>
        <v>Ada</v>
      </c>
      <c r="O243" s="41" t="n">
        <f aca="false">IF(M243&gt;0,MIN(J243:L243),"-")</f>
        <v>91819</v>
      </c>
      <c r="P243" s="41" t="n">
        <f aca="false">IF(M243&gt;0,AVERAGE(J243:L243),"-")</f>
        <v>91819</v>
      </c>
      <c r="Q243" s="41" t="n">
        <f aca="false">IF(M243&gt;0,O243-G243,"-")</f>
        <v>2069</v>
      </c>
      <c r="R243" s="42" t="n">
        <f aca="false">IF(M243&gt;0,IFERROR(Q243/O243,"-"),"-")</f>
        <v>0.0225334625731058</v>
      </c>
      <c r="S243" s="41" t="n">
        <f aca="false">IF(M243&gt;0,ROUND(MAX(G243*1.08,O243*0.97)/100,0)*100,ROUND(G243*1.12/100,0)*100)</f>
        <v>96900</v>
      </c>
      <c r="T243" s="42" t="n">
        <f aca="false">IFERROR((S243-G243)/S243,"-")</f>
        <v>0.0737874097007224</v>
      </c>
    </row>
    <row r="244" customFormat="false" ht="15" hidden="false" customHeight="false" outlineLevel="0" collapsed="false">
      <c r="A244" s="8" t="s">
        <v>1831</v>
      </c>
      <c r="B244" s="8" t="s">
        <v>1947</v>
      </c>
      <c r="C244" s="8" t="s">
        <v>1942</v>
      </c>
      <c r="D244" s="8" t="s">
        <v>38</v>
      </c>
      <c r="E244" s="8" t="n">
        <v>90000</v>
      </c>
      <c r="F244" s="38" t="n">
        <f aca="false">IFERROR(VALUE(SUBSTITUTE(SUBSTITUTE('Pulsa Telkomsel INDOFLAZ'!E23,"Rp. ",""),".","")),'Pulsa Telkomsel INDOFLAZ'!E23)</f>
        <v>91239</v>
      </c>
      <c r="G244" s="38" t="n">
        <f aca="false">IFERROR(VALUE(SUBSTITUTE(SUBSTITUTE('Pulsa Telkomsel INDOFLAZ'!F23,"Rp. ",""),".","")),'Pulsa Telkomsel INDOFLAZ'!F23)</f>
        <v>90345</v>
      </c>
      <c r="H244" s="38" t="n">
        <f aca="false">IFERROR(VALUE(SUBSTITUTE(SUBSTITUTE('Pulsa Telkomsel INDOFLAZ'!G23,"Rp. ",""),".","")),'Pulsa Telkomsel INDOFLAZ'!G23)</f>
        <v>89898</v>
      </c>
      <c r="I244" s="8" t="s">
        <v>2639</v>
      </c>
      <c r="J244" s="38" t="n">
        <f aca="false">'Pulsa Telkomsel OURA STORE'!A34</f>
        <v>91819</v>
      </c>
      <c r="K244" s="39"/>
      <c r="L244" s="39"/>
      <c r="M244" s="8" t="n">
        <f aca="false">COUNT(J244:L244)</f>
        <v>1</v>
      </c>
      <c r="N244" s="40" t="str">
        <f aca="false">IF(M244&gt;0,"Ada","Tidak Ada")</f>
        <v>Ada</v>
      </c>
      <c r="O244" s="41" t="n">
        <f aca="false">IF(M244&gt;0,MIN(J244:L244),"-")</f>
        <v>91819</v>
      </c>
      <c r="P244" s="41" t="n">
        <f aca="false">IF(M244&gt;0,AVERAGE(J244:L244),"-")</f>
        <v>91819</v>
      </c>
      <c r="Q244" s="41" t="n">
        <f aca="false">IF(M244&gt;0,O244-G244,"-")</f>
        <v>1474</v>
      </c>
      <c r="R244" s="42" t="n">
        <f aca="false">IF(M244&gt;0,IFERROR(Q244/O244,"-"),"-")</f>
        <v>0.016053322297128</v>
      </c>
      <c r="S244" s="41" t="n">
        <f aca="false">IF(M244&gt;0,ROUND(MAX(G244*1.08,O244*0.97)/100,0)*100,ROUND(G244*1.12/100,0)*100)</f>
        <v>97600</v>
      </c>
      <c r="T244" s="42" t="n">
        <f aca="false">IFERROR((S244-G244)/S244,"-")</f>
        <v>0.0743340163934426</v>
      </c>
    </row>
    <row r="245" customFormat="false" ht="15" hidden="false" customHeight="false" outlineLevel="0" collapsed="false">
      <c r="A245" s="8" t="s">
        <v>1831</v>
      </c>
      <c r="B245" s="8" t="s">
        <v>1952</v>
      </c>
      <c r="C245" s="8" t="s">
        <v>1953</v>
      </c>
      <c r="D245" s="8" t="s">
        <v>38</v>
      </c>
      <c r="E245" s="8" t="n">
        <v>95000</v>
      </c>
      <c r="F245" s="38" t="n">
        <f aca="false">IFERROR(VALUE(SUBSTITUTE(SUBSTITUTE('Pulsa Telkomsel INDOFLAZ'!E24,"Rp. ",""),".","")),'Pulsa Telkomsel INDOFLAZ'!E24)</f>
        <v>94620</v>
      </c>
      <c r="G245" s="38" t="n">
        <f aca="false">IFERROR(VALUE(SUBSTITUTE(SUBSTITUTE('Pulsa Telkomsel INDOFLAZ'!F24,"Rp. ",""),".","")),'Pulsa Telkomsel INDOFLAZ'!F24)</f>
        <v>94420</v>
      </c>
      <c r="H245" s="38" t="n">
        <f aca="false">IFERROR(VALUE(SUBSTITUTE(SUBSTITUTE('Pulsa Telkomsel INDOFLAZ'!G24,"Rp. ",""),".","")),'Pulsa Telkomsel INDOFLAZ'!G24)</f>
        <v>94220</v>
      </c>
      <c r="I245" s="8" t="s">
        <v>2639</v>
      </c>
      <c r="J245" s="38" t="n">
        <f aca="false">'Pulsa Telkomsel OURA STORE'!A36</f>
        <v>96811</v>
      </c>
      <c r="K245" s="39"/>
      <c r="L245" s="39"/>
      <c r="M245" s="8" t="n">
        <f aca="false">COUNT(J245:L245)</f>
        <v>1</v>
      </c>
      <c r="N245" s="40" t="str">
        <f aca="false">IF(M245&gt;0,"Ada","Tidak Ada")</f>
        <v>Ada</v>
      </c>
      <c r="O245" s="41" t="n">
        <f aca="false">IF(M245&gt;0,MIN(J245:L245),"-")</f>
        <v>96811</v>
      </c>
      <c r="P245" s="41" t="n">
        <f aca="false">IF(M245&gt;0,AVERAGE(J245:L245),"-")</f>
        <v>96811</v>
      </c>
      <c r="Q245" s="41" t="n">
        <f aca="false">IF(M245&gt;0,O245-G245,"-")</f>
        <v>2391</v>
      </c>
      <c r="R245" s="42" t="n">
        <f aca="false">IF(M245&gt;0,IFERROR(Q245/O245,"-"),"-")</f>
        <v>0.0246976066769272</v>
      </c>
      <c r="S245" s="41" t="n">
        <f aca="false">IF(M245&gt;0,ROUND(MAX(G245*1.08,O245*0.97)/100,0)*100,ROUND(G245*1.12/100,0)*100)</f>
        <v>102000</v>
      </c>
      <c r="T245" s="42" t="n">
        <f aca="false">IFERROR((S245-G245)/S245,"-")</f>
        <v>0.0743137254901961</v>
      </c>
    </row>
    <row r="246" customFormat="false" ht="15" hidden="false" customHeight="false" outlineLevel="0" collapsed="false">
      <c r="A246" s="8" t="s">
        <v>1831</v>
      </c>
      <c r="B246" s="8" t="s">
        <v>1958</v>
      </c>
      <c r="C246" s="8" t="s">
        <v>1953</v>
      </c>
      <c r="D246" s="8" t="s">
        <v>38</v>
      </c>
      <c r="E246" s="8" t="n">
        <v>95000</v>
      </c>
      <c r="F246" s="38" t="n">
        <f aca="false">IFERROR(VALUE(SUBSTITUTE(SUBSTITUTE('Pulsa Telkomsel INDOFLAZ'!E25,"Rp. ",""),".","")),'Pulsa Telkomsel INDOFLAZ'!E25)</f>
        <v>96003</v>
      </c>
      <c r="G246" s="38" t="n">
        <f aca="false">IFERROR(VALUE(SUBSTITUTE(SUBSTITUTE('Pulsa Telkomsel INDOFLAZ'!F25,"Rp. ",""),".","")),'Pulsa Telkomsel INDOFLAZ'!F25)</f>
        <v>95062</v>
      </c>
      <c r="H246" s="38" t="n">
        <f aca="false">IFERROR(VALUE(SUBSTITUTE(SUBSTITUTE('Pulsa Telkomsel INDOFLAZ'!G25,"Rp. ",""),".","")),'Pulsa Telkomsel INDOFLAZ'!G25)</f>
        <v>94591</v>
      </c>
      <c r="I246" s="8" t="s">
        <v>2639</v>
      </c>
      <c r="J246" s="38" t="n">
        <f aca="false">'Pulsa Telkomsel OURA STORE'!A36</f>
        <v>96811</v>
      </c>
      <c r="K246" s="39"/>
      <c r="L246" s="39"/>
      <c r="M246" s="8" t="n">
        <f aca="false">COUNT(J246:L246)</f>
        <v>1</v>
      </c>
      <c r="N246" s="40" t="str">
        <f aca="false">IF(M246&gt;0,"Ada","Tidak Ada")</f>
        <v>Ada</v>
      </c>
      <c r="O246" s="41" t="n">
        <f aca="false">IF(M246&gt;0,MIN(J246:L246),"-")</f>
        <v>96811</v>
      </c>
      <c r="P246" s="41" t="n">
        <f aca="false">IF(M246&gt;0,AVERAGE(J246:L246),"-")</f>
        <v>96811</v>
      </c>
      <c r="Q246" s="41" t="n">
        <f aca="false">IF(M246&gt;0,O246-G246,"-")</f>
        <v>1749</v>
      </c>
      <c r="R246" s="42" t="n">
        <f aca="false">IF(M246&gt;0,IFERROR(Q246/O246,"-"),"-")</f>
        <v>0.0180661288489944</v>
      </c>
      <c r="S246" s="41" t="n">
        <f aca="false">IF(M246&gt;0,ROUND(MAX(G246*1.08,O246*0.97)/100,0)*100,ROUND(G246*1.12/100,0)*100)</f>
        <v>102700</v>
      </c>
      <c r="T246" s="42" t="n">
        <f aca="false">IFERROR((S246-G246)/S246,"-")</f>
        <v>0.0743719571567673</v>
      </c>
    </row>
    <row r="247" customFormat="false" ht="15" hidden="false" customHeight="false" outlineLevel="0" collapsed="false">
      <c r="A247" s="8" t="s">
        <v>1831</v>
      </c>
      <c r="B247" s="8" t="s">
        <v>1963</v>
      </c>
      <c r="C247" s="8" t="s">
        <v>1964</v>
      </c>
      <c r="D247" s="8" t="s">
        <v>38</v>
      </c>
      <c r="E247" s="8" t="n">
        <v>100000</v>
      </c>
      <c r="F247" s="38" t="n">
        <f aca="false">IFERROR(VALUE(SUBSTITUTE(SUBSTITUTE('Pulsa Telkomsel INDOFLAZ'!E26,"Rp. ",""),".","")),'Pulsa Telkomsel INDOFLAZ'!E26)</f>
        <v>98040</v>
      </c>
      <c r="G247" s="38" t="n">
        <f aca="false">IFERROR(VALUE(SUBSTITUTE(SUBSTITUTE('Pulsa Telkomsel INDOFLAZ'!F26,"Rp. ",""),".","")),'Pulsa Telkomsel INDOFLAZ'!F26)</f>
        <v>97840</v>
      </c>
      <c r="H247" s="38" t="n">
        <f aca="false">IFERROR(VALUE(SUBSTITUTE(SUBSTITUTE('Pulsa Telkomsel INDOFLAZ'!G26,"Rp. ",""),".","")),'Pulsa Telkomsel INDOFLAZ'!G26)</f>
        <v>97640</v>
      </c>
      <c r="I247" s="8" t="s">
        <v>2625</v>
      </c>
      <c r="J247" s="39"/>
      <c r="K247" s="39"/>
      <c r="L247" s="39"/>
      <c r="M247" s="8" t="n">
        <f aca="false">COUNT(J247:L247)</f>
        <v>0</v>
      </c>
      <c r="N247" s="40" t="str">
        <f aca="false">IF(M247&gt;0,"Ada","Tidak Ada")</f>
        <v>Tidak Ada</v>
      </c>
      <c r="O247" s="41" t="str">
        <f aca="false">IF(M247&gt;0,MIN(J247:L247),"-")</f>
        <v>-</v>
      </c>
      <c r="P247" s="41" t="str">
        <f aca="false">IF(M247&gt;0,AVERAGE(J247:L247),"-")</f>
        <v>-</v>
      </c>
      <c r="Q247" s="41" t="str">
        <f aca="false">IF(M247&gt;0,O247-G247,"-")</f>
        <v>-</v>
      </c>
      <c r="R247" s="42" t="str">
        <f aca="false">IF(M247&gt;0,IFERROR(Q247/O247,"-"),"-")</f>
        <v>-</v>
      </c>
      <c r="S247" s="41" t="n">
        <f aca="false">IF(M247&gt;0,ROUND(MAX(G247*1.08,O247*0.97)/100,0)*100,ROUND(G247*1.12/100,0)*100)</f>
        <v>109600</v>
      </c>
      <c r="T247" s="42" t="n">
        <f aca="false">IFERROR((S247-G247)/S247,"-")</f>
        <v>0.107299270072993</v>
      </c>
    </row>
    <row r="248" customFormat="false" ht="15" hidden="false" customHeight="false" outlineLevel="0" collapsed="false">
      <c r="A248" s="8" t="s">
        <v>1831</v>
      </c>
      <c r="B248" s="8" t="s">
        <v>1969</v>
      </c>
      <c r="C248" s="8" t="s">
        <v>1964</v>
      </c>
      <c r="D248" s="8" t="s">
        <v>38</v>
      </c>
      <c r="E248" s="8" t="n">
        <v>100000</v>
      </c>
      <c r="F248" s="38" t="n">
        <f aca="false">IFERROR(VALUE(SUBSTITUTE(SUBSTITUTE('Pulsa Telkomsel INDOFLAZ'!E27,"Rp. ",""),".","")),'Pulsa Telkomsel INDOFLAZ'!E27)</f>
        <v>99629</v>
      </c>
      <c r="G248" s="38" t="n">
        <f aca="false">IFERROR(VALUE(SUBSTITUTE(SUBSTITUTE('Pulsa Telkomsel INDOFLAZ'!F27,"Rp. ",""),".","")),'Pulsa Telkomsel INDOFLAZ'!F27)</f>
        <v>98652</v>
      </c>
      <c r="H248" s="38" t="n">
        <f aca="false">IFERROR(VALUE(SUBSTITUTE(SUBSTITUTE('Pulsa Telkomsel INDOFLAZ'!G27,"Rp. ",""),".","")),'Pulsa Telkomsel INDOFLAZ'!G27)</f>
        <v>98164</v>
      </c>
      <c r="I248" s="8" t="s">
        <v>2625</v>
      </c>
      <c r="J248" s="39"/>
      <c r="K248" s="39"/>
      <c r="L248" s="39"/>
      <c r="M248" s="8" t="n">
        <f aca="false">COUNT(J248:L248)</f>
        <v>0</v>
      </c>
      <c r="N248" s="40" t="str">
        <f aca="false">IF(M248&gt;0,"Ada","Tidak Ada")</f>
        <v>Tidak Ada</v>
      </c>
      <c r="O248" s="41" t="str">
        <f aca="false">IF(M248&gt;0,MIN(J248:L248),"-")</f>
        <v>-</v>
      </c>
      <c r="P248" s="41" t="str">
        <f aca="false">IF(M248&gt;0,AVERAGE(J248:L248),"-")</f>
        <v>-</v>
      </c>
      <c r="Q248" s="41" t="str">
        <f aca="false">IF(M248&gt;0,O248-G248,"-")</f>
        <v>-</v>
      </c>
      <c r="R248" s="42" t="str">
        <f aca="false">IF(M248&gt;0,IFERROR(Q248/O248,"-"),"-")</f>
        <v>-</v>
      </c>
      <c r="S248" s="41" t="n">
        <f aca="false">IF(M248&gt;0,ROUND(MAX(G248*1.08,O248*0.97)/100,0)*100,ROUND(G248*1.12/100,0)*100)</f>
        <v>110500</v>
      </c>
      <c r="T248" s="42" t="n">
        <f aca="false">IFERROR((S248-G248)/S248,"-")</f>
        <v>0.107221719457014</v>
      </c>
    </row>
    <row r="249" customFormat="false" ht="15" hidden="false" customHeight="false" outlineLevel="0" collapsed="false">
      <c r="A249" s="8" t="s">
        <v>1831</v>
      </c>
      <c r="B249" s="8" t="s">
        <v>1974</v>
      </c>
      <c r="C249" s="8" t="s">
        <v>1975</v>
      </c>
      <c r="D249" s="8" t="s">
        <v>38</v>
      </c>
      <c r="E249" s="8" t="n">
        <v>150000</v>
      </c>
      <c r="F249" s="38" t="n">
        <f aca="false">IFERROR(VALUE(SUBSTITUTE(SUBSTITUTE('Pulsa Telkomsel INDOFLAZ'!E28,"Rp. ",""),".","")),'Pulsa Telkomsel INDOFLAZ'!E28)</f>
        <v>148425</v>
      </c>
      <c r="G249" s="38" t="n">
        <f aca="false">IFERROR(VALUE(SUBSTITUTE(SUBSTITUTE('Pulsa Telkomsel INDOFLAZ'!F28,"Rp. ",""),".","")),'Pulsa Telkomsel INDOFLAZ'!F28)</f>
        <v>148225</v>
      </c>
      <c r="H249" s="38" t="n">
        <f aca="false">IFERROR(VALUE(SUBSTITUTE(SUBSTITUTE('Pulsa Telkomsel INDOFLAZ'!G28,"Rp. ",""),".","")),'Pulsa Telkomsel INDOFLAZ'!G28)</f>
        <v>148025</v>
      </c>
      <c r="I249" s="8" t="s">
        <v>2639</v>
      </c>
      <c r="J249" s="38" t="n">
        <f aca="false">'Pulsa Telkomsel OURA STORE'!A38</f>
        <v>148264</v>
      </c>
      <c r="K249" s="39"/>
      <c r="L249" s="39"/>
      <c r="M249" s="8" t="n">
        <f aca="false">COUNT(J249:L249)</f>
        <v>1</v>
      </c>
      <c r="N249" s="40" t="str">
        <f aca="false">IF(M249&gt;0,"Ada","Tidak Ada")</f>
        <v>Ada</v>
      </c>
      <c r="O249" s="41" t="n">
        <f aca="false">IF(M249&gt;0,MIN(J249:L249),"-")</f>
        <v>148264</v>
      </c>
      <c r="P249" s="41" t="n">
        <f aca="false">IF(M249&gt;0,AVERAGE(J249:L249),"-")</f>
        <v>148264</v>
      </c>
      <c r="Q249" s="41" t="n">
        <f aca="false">IF(M249&gt;0,O249-G249,"-")</f>
        <v>39</v>
      </c>
      <c r="R249" s="42" t="n">
        <f aca="false">IF(M249&gt;0,IFERROR(Q249/O249,"-"),"-")</f>
        <v>0.000263044299357902</v>
      </c>
      <c r="S249" s="41" t="n">
        <f aca="false">IF(M249&gt;0,ROUND(MAX(G249*1.08,O249*0.97)/100,0)*100,ROUND(G249*1.12/100,0)*100)</f>
        <v>160100</v>
      </c>
      <c r="T249" s="42" t="n">
        <f aca="false">IFERROR((S249-G249)/S249,"-")</f>
        <v>0.0741723922548407</v>
      </c>
    </row>
    <row r="250" customFormat="false" ht="15" hidden="false" customHeight="false" outlineLevel="0" collapsed="false">
      <c r="A250" s="8" t="s">
        <v>1831</v>
      </c>
      <c r="B250" s="8" t="s">
        <v>1980</v>
      </c>
      <c r="C250" s="8" t="s">
        <v>1975</v>
      </c>
      <c r="D250" s="8" t="s">
        <v>38</v>
      </c>
      <c r="E250" s="8" t="n">
        <v>150000</v>
      </c>
      <c r="F250" s="38" t="n">
        <f aca="false">IFERROR(VALUE(SUBSTITUTE(SUBSTITUTE('Pulsa Telkomsel INDOFLAZ'!E29,"Rp. ",""),".","")),'Pulsa Telkomsel INDOFLAZ'!E29)</f>
        <v>150986</v>
      </c>
      <c r="G250" s="38" t="n">
        <f aca="false">IFERROR(VALUE(SUBSTITUTE(SUBSTITUTE('Pulsa Telkomsel INDOFLAZ'!F29,"Rp. ",""),".","")),'Pulsa Telkomsel INDOFLAZ'!F29)</f>
        <v>149506</v>
      </c>
      <c r="H250" s="38" t="n">
        <f aca="false">IFERROR(VALUE(SUBSTITUTE(SUBSTITUTE('Pulsa Telkomsel INDOFLAZ'!G29,"Rp. ",""),".","")),'Pulsa Telkomsel INDOFLAZ'!G29)</f>
        <v>148766</v>
      </c>
      <c r="I250" s="8" t="s">
        <v>2639</v>
      </c>
      <c r="J250" s="38" t="n">
        <f aca="false">'Pulsa Telkomsel OURA STORE'!A38</f>
        <v>148264</v>
      </c>
      <c r="K250" s="39"/>
      <c r="L250" s="39"/>
      <c r="M250" s="8" t="n">
        <f aca="false">COUNT(J250:L250)</f>
        <v>1</v>
      </c>
      <c r="N250" s="40" t="str">
        <f aca="false">IF(M250&gt;0,"Ada","Tidak Ada")</f>
        <v>Ada</v>
      </c>
      <c r="O250" s="41" t="n">
        <f aca="false">IF(M250&gt;0,MIN(J250:L250),"-")</f>
        <v>148264</v>
      </c>
      <c r="P250" s="41" t="n">
        <f aca="false">IF(M250&gt;0,AVERAGE(J250:L250),"-")</f>
        <v>148264</v>
      </c>
      <c r="Q250" s="41" t="n">
        <f aca="false">IF(M250&gt;0,O250-G250,"-")</f>
        <v>-1242</v>
      </c>
      <c r="R250" s="42" t="n">
        <f aca="false">IF(M250&gt;0,IFERROR(Q250/O250,"-"),"-")</f>
        <v>-0.0083769492257055</v>
      </c>
      <c r="S250" s="41" t="n">
        <f aca="false">IF(M250&gt;0,ROUND(MAX(G250*1.08,O250*0.97)/100,0)*100,ROUND(G250*1.12/100,0)*100)</f>
        <v>161500</v>
      </c>
      <c r="T250" s="42" t="n">
        <f aca="false">IFERROR((S250-G250)/S250,"-")</f>
        <v>0.0742662538699691</v>
      </c>
    </row>
    <row r="251" customFormat="false" ht="15" hidden="false" customHeight="false" outlineLevel="0" collapsed="false">
      <c r="A251" s="8" t="s">
        <v>1831</v>
      </c>
      <c r="B251" s="8" t="s">
        <v>1985</v>
      </c>
      <c r="C251" s="8" t="s">
        <v>1986</v>
      </c>
      <c r="D251" s="8" t="s">
        <v>38</v>
      </c>
      <c r="E251" s="8" t="n">
        <v>200000</v>
      </c>
      <c r="F251" s="38" t="n">
        <f aca="false">IFERROR(VALUE(SUBSTITUTE(SUBSTITUTE('Pulsa Telkomsel INDOFLAZ'!E30,"Rp. ",""),".","")),'Pulsa Telkomsel INDOFLAZ'!E30)</f>
        <v>195025</v>
      </c>
      <c r="G251" s="38" t="n">
        <f aca="false">IFERROR(VALUE(SUBSTITUTE(SUBSTITUTE('Pulsa Telkomsel INDOFLAZ'!F30,"Rp. ",""),".","")),'Pulsa Telkomsel INDOFLAZ'!F30)</f>
        <v>194825</v>
      </c>
      <c r="H251" s="38" t="n">
        <f aca="false">IFERROR(VALUE(SUBSTITUTE(SUBSTITUTE('Pulsa Telkomsel INDOFLAZ'!G30,"Rp. ",""),".","")),'Pulsa Telkomsel INDOFLAZ'!G30)</f>
        <v>194625</v>
      </c>
      <c r="I251" s="8" t="s">
        <v>2639</v>
      </c>
      <c r="J251" s="38" t="n">
        <f aca="false">'Pulsa Telkomsel OURA STORE'!A40</f>
        <v>197934</v>
      </c>
      <c r="K251" s="39"/>
      <c r="L251" s="39"/>
      <c r="M251" s="8" t="n">
        <f aca="false">COUNT(J251:L251)</f>
        <v>1</v>
      </c>
      <c r="N251" s="40" t="str">
        <f aca="false">IF(M251&gt;0,"Ada","Tidak Ada")</f>
        <v>Ada</v>
      </c>
      <c r="O251" s="41" t="n">
        <f aca="false">IF(M251&gt;0,MIN(J251:L251),"-")</f>
        <v>197934</v>
      </c>
      <c r="P251" s="41" t="n">
        <f aca="false">IF(M251&gt;0,AVERAGE(J251:L251),"-")</f>
        <v>197934</v>
      </c>
      <c r="Q251" s="41" t="n">
        <f aca="false">IF(M251&gt;0,O251-G251,"-")</f>
        <v>3109</v>
      </c>
      <c r="R251" s="42" t="n">
        <f aca="false">IF(M251&gt;0,IFERROR(Q251/O251,"-"),"-")</f>
        <v>0.0157072559540049</v>
      </c>
      <c r="S251" s="41" t="n">
        <f aca="false">IF(M251&gt;0,ROUND(MAX(G251*1.08,O251*0.97)/100,0)*100,ROUND(G251*1.12/100,0)*100)</f>
        <v>210400</v>
      </c>
      <c r="T251" s="42" t="n">
        <f aca="false">IFERROR((S251-G251)/S251,"-")</f>
        <v>0.0740256653992396</v>
      </c>
    </row>
    <row r="252" customFormat="false" ht="15" hidden="false" customHeight="false" outlineLevel="0" collapsed="false">
      <c r="A252" s="8" t="s">
        <v>1831</v>
      </c>
      <c r="B252" s="8" t="s">
        <v>1991</v>
      </c>
      <c r="C252" s="8" t="s">
        <v>1992</v>
      </c>
      <c r="D252" s="8" t="s">
        <v>38</v>
      </c>
      <c r="E252" s="8" t="n">
        <v>300000</v>
      </c>
      <c r="F252" s="38" t="n">
        <f aca="false">IFERROR(VALUE(SUBSTITUTE(SUBSTITUTE('Pulsa Telkomsel INDOFLAZ'!E31,"Rp. ",""),".","")),'Pulsa Telkomsel INDOFLAZ'!E31)</f>
        <v>300000</v>
      </c>
      <c r="G252" s="38" t="n">
        <f aca="false">IFERROR(VALUE(SUBSTITUTE(SUBSTITUTE('Pulsa Telkomsel INDOFLAZ'!F31,"Rp. ",""),".","")),'Pulsa Telkomsel INDOFLAZ'!F31)</f>
        <v>299800</v>
      </c>
      <c r="H252" s="38" t="n">
        <f aca="false">IFERROR(VALUE(SUBSTITUTE(SUBSTITUTE('Pulsa Telkomsel INDOFLAZ'!G31,"Rp. ",""),".","")),'Pulsa Telkomsel INDOFLAZ'!G31)</f>
        <v>299600</v>
      </c>
      <c r="I252" s="8" t="s">
        <v>2639</v>
      </c>
      <c r="J252" s="38" t="n">
        <f aca="false">'Pulsa Telkomsel OURA STORE'!A42</f>
        <v>298734</v>
      </c>
      <c r="K252" s="39"/>
      <c r="L252" s="39"/>
      <c r="M252" s="8" t="n">
        <f aca="false">COUNT(J252:L252)</f>
        <v>1</v>
      </c>
      <c r="N252" s="40" t="str">
        <f aca="false">IF(M252&gt;0,"Ada","Tidak Ada")</f>
        <v>Ada</v>
      </c>
      <c r="O252" s="41" t="n">
        <f aca="false">IF(M252&gt;0,MIN(J252:L252),"-")</f>
        <v>298734</v>
      </c>
      <c r="P252" s="41" t="n">
        <f aca="false">IF(M252&gt;0,AVERAGE(J252:L252),"-")</f>
        <v>298734</v>
      </c>
      <c r="Q252" s="41" t="n">
        <f aca="false">IF(M252&gt;0,O252-G252,"-")</f>
        <v>-1066</v>
      </c>
      <c r="R252" s="42" t="n">
        <f aca="false">IF(M252&gt;0,IFERROR(Q252/O252,"-"),"-")</f>
        <v>-0.00356839194735116</v>
      </c>
      <c r="S252" s="41" t="n">
        <f aca="false">IF(M252&gt;0,ROUND(MAX(G252*1.08,O252*0.97)/100,0)*100,ROUND(G252*1.12/100,0)*100)</f>
        <v>323800</v>
      </c>
      <c r="T252" s="42" t="n">
        <f aca="false">IFERROR((S252-G252)/S252,"-")</f>
        <v>0.0741198270537369</v>
      </c>
    </row>
    <row r="253" customFormat="false" ht="15" hidden="false" customHeight="false" outlineLevel="0" collapsed="false">
      <c r="A253" s="8" t="s">
        <v>1831</v>
      </c>
      <c r="B253" s="8" t="s">
        <v>1997</v>
      </c>
      <c r="C253" s="8" t="s">
        <v>1992</v>
      </c>
      <c r="D253" s="8" t="s">
        <v>38</v>
      </c>
      <c r="E253" s="8" t="n">
        <v>300000</v>
      </c>
      <c r="F253" s="38" t="n">
        <f aca="false">IFERROR(VALUE(SUBSTITUTE(SUBSTITUTE('Pulsa Telkomsel INDOFLAZ'!E32,"Rp. ",""),".","")),'Pulsa Telkomsel INDOFLAZ'!E32)</f>
        <v>305490</v>
      </c>
      <c r="G253" s="38" t="n">
        <f aca="false">IFERROR(VALUE(SUBSTITUTE(SUBSTITUTE('Pulsa Telkomsel INDOFLAZ'!F32,"Rp. ",""),".","")),'Pulsa Telkomsel INDOFLAZ'!F32)</f>
        <v>302495</v>
      </c>
      <c r="H253" s="38" t="n">
        <f aca="false">IFERROR(VALUE(SUBSTITUTE(SUBSTITUTE('Pulsa Telkomsel INDOFLAZ'!G32,"Rp. ",""),".","")),'Pulsa Telkomsel INDOFLAZ'!G32)</f>
        <v>300998</v>
      </c>
      <c r="I253" s="8" t="s">
        <v>2639</v>
      </c>
      <c r="J253" s="38" t="n">
        <f aca="false">'Pulsa Telkomsel OURA STORE'!A42</f>
        <v>298734</v>
      </c>
      <c r="K253" s="39"/>
      <c r="L253" s="39"/>
      <c r="M253" s="8" t="n">
        <f aca="false">COUNT(J253:L253)</f>
        <v>1</v>
      </c>
      <c r="N253" s="40" t="str">
        <f aca="false">IF(M253&gt;0,"Ada","Tidak Ada")</f>
        <v>Ada</v>
      </c>
      <c r="O253" s="41" t="n">
        <f aca="false">IF(M253&gt;0,MIN(J253:L253),"-")</f>
        <v>298734</v>
      </c>
      <c r="P253" s="41" t="n">
        <f aca="false">IF(M253&gt;0,AVERAGE(J253:L253),"-")</f>
        <v>298734</v>
      </c>
      <c r="Q253" s="41" t="n">
        <f aca="false">IF(M253&gt;0,O253-G253,"-")</f>
        <v>-3761</v>
      </c>
      <c r="R253" s="42" t="n">
        <f aca="false">IF(M253&gt;0,IFERROR(Q253/O253,"-"),"-")</f>
        <v>-0.012589795604116</v>
      </c>
      <c r="S253" s="41" t="n">
        <f aca="false">IF(M253&gt;0,ROUND(MAX(G253*1.08,O253*0.97)/100,0)*100,ROUND(G253*1.12/100,0)*100)</f>
        <v>326700</v>
      </c>
      <c r="T253" s="42" t="n">
        <f aca="false">IFERROR((S253-G253)/S253,"-")</f>
        <v>0.0740893786348332</v>
      </c>
    </row>
    <row r="254" customFormat="false" ht="15" hidden="false" customHeight="false" outlineLevel="0" collapsed="false">
      <c r="A254" s="8" t="s">
        <v>1831</v>
      </c>
      <c r="B254" s="8" t="s">
        <v>2002</v>
      </c>
      <c r="C254" s="8" t="s">
        <v>2003</v>
      </c>
      <c r="D254" s="8" t="s">
        <v>38</v>
      </c>
      <c r="E254" s="8" t="n">
        <v>500000</v>
      </c>
      <c r="F254" s="38" t="n">
        <f aca="false">IFERROR(VALUE(SUBSTITUTE(SUBSTITUTE('Pulsa Telkomsel INDOFLAZ'!E33,"Rp. ",""),".","")),'Pulsa Telkomsel INDOFLAZ'!E33)</f>
        <v>496575</v>
      </c>
      <c r="G254" s="38" t="n">
        <f aca="false">IFERROR(VALUE(SUBSTITUTE(SUBSTITUTE('Pulsa Telkomsel INDOFLAZ'!F33,"Rp. ",""),".","")),'Pulsa Telkomsel INDOFLAZ'!F33)</f>
        <v>496375</v>
      </c>
      <c r="H254" s="38" t="n">
        <f aca="false">IFERROR(VALUE(SUBSTITUTE(SUBSTITUTE('Pulsa Telkomsel INDOFLAZ'!G33,"Rp. ",""),".","")),'Pulsa Telkomsel INDOFLAZ'!G33)</f>
        <v>496175</v>
      </c>
      <c r="I254" s="8" t="s">
        <v>2639</v>
      </c>
      <c r="J254" s="38" t="n">
        <f aca="false">'Pulsa Telkomsel OURA STORE'!A44</f>
        <v>503783</v>
      </c>
      <c r="K254" s="39"/>
      <c r="L254" s="39"/>
      <c r="M254" s="8" t="n">
        <f aca="false">COUNT(J254:L254)</f>
        <v>1</v>
      </c>
      <c r="N254" s="40" t="str">
        <f aca="false">IF(M254&gt;0,"Ada","Tidak Ada")</f>
        <v>Ada</v>
      </c>
      <c r="O254" s="41" t="n">
        <f aca="false">IF(M254&gt;0,MIN(J254:L254),"-")</f>
        <v>503783</v>
      </c>
      <c r="P254" s="41" t="n">
        <f aca="false">IF(M254&gt;0,AVERAGE(J254:L254),"-")</f>
        <v>503783</v>
      </c>
      <c r="Q254" s="41" t="n">
        <f aca="false">IF(M254&gt;0,O254-G254,"-")</f>
        <v>7408</v>
      </c>
      <c r="R254" s="42" t="n">
        <f aca="false">IF(M254&gt;0,IFERROR(Q254/O254,"-"),"-")</f>
        <v>0.0147047439075951</v>
      </c>
      <c r="S254" s="41" t="n">
        <f aca="false">IF(M254&gt;0,ROUND(MAX(G254*1.08,O254*0.97)/100,0)*100,ROUND(G254*1.12/100,0)*100)</f>
        <v>536100</v>
      </c>
      <c r="T254" s="42" t="n">
        <f aca="false">IFERROR((S254-G254)/S254,"-")</f>
        <v>0.0740999813467637</v>
      </c>
    </row>
    <row r="255" customFormat="false" ht="15" hidden="false" customHeight="false" outlineLevel="0" collapsed="false">
      <c r="A255" s="8" t="s">
        <v>1831</v>
      </c>
      <c r="B255" s="8" t="s">
        <v>2008</v>
      </c>
      <c r="C255" s="8" t="s">
        <v>2003</v>
      </c>
      <c r="D255" s="8" t="s">
        <v>38</v>
      </c>
      <c r="E255" s="8" t="n">
        <v>500000</v>
      </c>
      <c r="F255" s="38" t="n">
        <f aca="false">IFERROR(VALUE(SUBSTITUTE(SUBSTITUTE('Pulsa Telkomsel INDOFLAZ'!E34,"Rp. ",""),".","")),'Pulsa Telkomsel INDOFLAZ'!E34)</f>
        <v>505997</v>
      </c>
      <c r="G255" s="38" t="n">
        <f aca="false">IFERROR(VALUE(SUBSTITUTE(SUBSTITUTE('Pulsa Telkomsel INDOFLAZ'!F34,"Rp. ",""),".","")),'Pulsa Telkomsel INDOFLAZ'!F34)</f>
        <v>501036</v>
      </c>
      <c r="H255" s="38" t="n">
        <f aca="false">IFERROR(VALUE(SUBSTITUTE(SUBSTITUTE('Pulsa Telkomsel INDOFLAZ'!G34,"Rp. ",""),".","")),'Pulsa Telkomsel INDOFLAZ'!G34)</f>
        <v>498556</v>
      </c>
      <c r="I255" s="8" t="s">
        <v>2639</v>
      </c>
      <c r="J255" s="38" t="n">
        <f aca="false">'Pulsa Telkomsel OURA STORE'!A44</f>
        <v>503783</v>
      </c>
      <c r="K255" s="39"/>
      <c r="L255" s="39"/>
      <c r="M255" s="8" t="n">
        <f aca="false">COUNT(J255:L255)</f>
        <v>1</v>
      </c>
      <c r="N255" s="40" t="str">
        <f aca="false">IF(M255&gt;0,"Ada","Tidak Ada")</f>
        <v>Ada</v>
      </c>
      <c r="O255" s="41" t="n">
        <f aca="false">IF(M255&gt;0,MIN(J255:L255),"-")</f>
        <v>503783</v>
      </c>
      <c r="P255" s="41" t="n">
        <f aca="false">IF(M255&gt;0,AVERAGE(J255:L255),"-")</f>
        <v>503783</v>
      </c>
      <c r="Q255" s="41" t="n">
        <f aca="false">IF(M255&gt;0,O255-G255,"-")</f>
        <v>2747</v>
      </c>
      <c r="R255" s="42" t="n">
        <f aca="false">IF(M255&gt;0,IFERROR(Q255/O255,"-"),"-")</f>
        <v>0.00545274453484933</v>
      </c>
      <c r="S255" s="41" t="n">
        <f aca="false">IF(M255&gt;0,ROUND(MAX(G255*1.08,O255*0.97)/100,0)*100,ROUND(G255*1.12/100,0)*100)</f>
        <v>541100</v>
      </c>
      <c r="T255" s="42" t="n">
        <f aca="false">IFERROR((S255-G255)/S255,"-")</f>
        <v>0.0740417667713916</v>
      </c>
    </row>
    <row r="256" customFormat="false" ht="15" hidden="false" customHeight="false" outlineLevel="0" collapsed="false">
      <c r="A256" s="8" t="s">
        <v>1831</v>
      </c>
      <c r="B256" s="8" t="s">
        <v>2013</v>
      </c>
      <c r="C256" s="8" t="s">
        <v>2014</v>
      </c>
      <c r="D256" s="8" t="s">
        <v>38</v>
      </c>
      <c r="E256" s="8" t="n">
        <v>1000000</v>
      </c>
      <c r="F256" s="38" t="n">
        <f aca="false">IFERROR(VALUE(SUBSTITUTE(SUBSTITUTE('Pulsa Telkomsel INDOFLAZ'!E35,"Rp. ",""),".","")),'Pulsa Telkomsel INDOFLAZ'!E35)</f>
        <v>996025</v>
      </c>
      <c r="G256" s="38" t="n">
        <f aca="false">IFERROR(VALUE(SUBSTITUTE(SUBSTITUTE('Pulsa Telkomsel INDOFLAZ'!F35,"Rp. ",""),".","")),'Pulsa Telkomsel INDOFLAZ'!F35)</f>
        <v>995825</v>
      </c>
      <c r="H256" s="38" t="n">
        <f aca="false">IFERROR(VALUE(SUBSTITUTE(SUBSTITUTE('Pulsa Telkomsel INDOFLAZ'!G35,"Rp. ",""),".","")),'Pulsa Telkomsel INDOFLAZ'!G35)</f>
        <v>995625</v>
      </c>
      <c r="I256" s="8" t="s">
        <v>2639</v>
      </c>
      <c r="J256" s="38" t="n">
        <f aca="false">'Pulsa Telkomsel OURA STORE'!A46</f>
        <v>1005415</v>
      </c>
      <c r="K256" s="39"/>
      <c r="L256" s="39"/>
      <c r="M256" s="8" t="n">
        <f aca="false">COUNT(J256:L256)</f>
        <v>1</v>
      </c>
      <c r="N256" s="40" t="str">
        <f aca="false">IF(M256&gt;0,"Ada","Tidak Ada")</f>
        <v>Ada</v>
      </c>
      <c r="O256" s="41" t="n">
        <f aca="false">IF(M256&gt;0,MIN(J256:L256),"-")</f>
        <v>1005415</v>
      </c>
      <c r="P256" s="41" t="n">
        <f aca="false">IF(M256&gt;0,AVERAGE(J256:L256),"-")</f>
        <v>1005415</v>
      </c>
      <c r="Q256" s="41" t="n">
        <f aca="false">IF(M256&gt;0,O256-G256,"-")</f>
        <v>9590</v>
      </c>
      <c r="R256" s="42" t="n">
        <f aca="false">IF(M256&gt;0,IFERROR(Q256/O256,"-"),"-")</f>
        <v>0.00953834983564001</v>
      </c>
      <c r="S256" s="41" t="n">
        <f aca="false">IF(M256&gt;0,ROUND(MAX(G256*1.08,O256*0.97)/100,0)*100,ROUND(G256*1.12/100,0)*100)</f>
        <v>1075500</v>
      </c>
      <c r="T256" s="42" t="n">
        <f aca="false">IFERROR((S256-G256)/S256,"-")</f>
        <v>0.0740818224081822</v>
      </c>
    </row>
    <row r="257" customFormat="false" ht="15" hidden="false" customHeight="false" outlineLevel="0" collapsed="false">
      <c r="A257" s="8" t="s">
        <v>1831</v>
      </c>
      <c r="B257" s="8" t="s">
        <v>2019</v>
      </c>
      <c r="C257" s="8" t="s">
        <v>2014</v>
      </c>
      <c r="D257" s="8" t="s">
        <v>38</v>
      </c>
      <c r="E257" s="8" t="n">
        <v>1000000</v>
      </c>
      <c r="F257" s="38" t="n">
        <f aca="false">IFERROR(VALUE(SUBSTITUTE(SUBSTITUTE('Pulsa Telkomsel INDOFLAZ'!E36,"Rp. ",""),".","")),'Pulsa Telkomsel INDOFLAZ'!E36)</f>
        <v>1015436</v>
      </c>
      <c r="G257" s="38" t="n">
        <f aca="false">IFERROR(VALUE(SUBSTITUTE(SUBSTITUTE('Pulsa Telkomsel INDOFLAZ'!F36,"Rp. ",""),".","")),'Pulsa Telkomsel INDOFLAZ'!F36)</f>
        <v>1005481</v>
      </c>
      <c r="H257" s="38" t="n">
        <f aca="false">IFERROR(VALUE(SUBSTITUTE(SUBSTITUTE('Pulsa Telkomsel INDOFLAZ'!G36,"Rp. ",""),".","")),'Pulsa Telkomsel INDOFLAZ'!G36)</f>
        <v>1000503</v>
      </c>
      <c r="I257" s="8" t="s">
        <v>2639</v>
      </c>
      <c r="J257" s="38" t="n">
        <f aca="false">'Pulsa Telkomsel OURA STORE'!A46</f>
        <v>1005415</v>
      </c>
      <c r="K257" s="39"/>
      <c r="L257" s="39"/>
      <c r="M257" s="8" t="n">
        <f aca="false">COUNT(J257:L257)</f>
        <v>1</v>
      </c>
      <c r="N257" s="40" t="str">
        <f aca="false">IF(M257&gt;0,"Ada","Tidak Ada")</f>
        <v>Ada</v>
      </c>
      <c r="O257" s="41" t="n">
        <f aca="false">IF(M257&gt;0,MIN(J257:L257),"-")</f>
        <v>1005415</v>
      </c>
      <c r="P257" s="41" t="n">
        <f aca="false">IF(M257&gt;0,AVERAGE(J257:L257),"-")</f>
        <v>1005415</v>
      </c>
      <c r="Q257" s="41" t="n">
        <f aca="false">IF(M257&gt;0,O257-G257,"-")</f>
        <v>-66</v>
      </c>
      <c r="R257" s="42" t="n">
        <f aca="false">IF(M257&gt;0,IFERROR(Q257/O257,"-"),"-")</f>
        <v>-6.56445348438207E-005</v>
      </c>
      <c r="S257" s="41" t="n">
        <f aca="false">IF(M257&gt;0,ROUND(MAX(G257*1.08,O257*0.97)/100,0)*100,ROUND(G257*1.12/100,0)*100)</f>
        <v>1085900</v>
      </c>
      <c r="T257" s="42" t="n">
        <f aca="false">IFERROR((S257-G257)/S257,"-")</f>
        <v>0.0740574638548669</v>
      </c>
    </row>
    <row r="258" customFormat="false" ht="15" hidden="false" customHeight="false" outlineLevel="0" collapsed="false">
      <c r="A258" s="8" t="s">
        <v>2048</v>
      </c>
      <c r="B258" s="8" t="s">
        <v>2047</v>
      </c>
      <c r="C258" s="8" t="s">
        <v>2049</v>
      </c>
      <c r="D258" s="8" t="s">
        <v>39</v>
      </c>
      <c r="E258" s="8" t="n">
        <v>10000</v>
      </c>
      <c r="F258" s="38" t="n">
        <f aca="false">IFERROR(VALUE(SUBSTITUTE(SUBSTITUTE('byU INDOFLAZ'!E2,"Rp. ",""),".","")),'byU INDOFLAZ'!E2)</f>
        <v>10515</v>
      </c>
      <c r="G258" s="38" t="n">
        <f aca="false">IFERROR(VALUE(SUBSTITUTE(SUBSTITUTE('byU INDOFLAZ'!F2,"Rp. ",""),".","")),'byU INDOFLAZ'!F2)</f>
        <v>10315</v>
      </c>
      <c r="H258" s="38" t="n">
        <f aca="false">IFERROR(VALUE(SUBSTITUTE(SUBSTITUTE('byU INDOFLAZ'!G2,"Rp. ",""),".","")),'byU INDOFLAZ'!G2)</f>
        <v>10115</v>
      </c>
      <c r="I258" s="8" t="s">
        <v>2625</v>
      </c>
      <c r="J258" s="39"/>
      <c r="K258" s="39"/>
      <c r="L258" s="39"/>
      <c r="M258" s="8" t="n">
        <f aca="false">COUNT(J258:L258)</f>
        <v>0</v>
      </c>
      <c r="N258" s="40" t="str">
        <f aca="false">IF(M258&gt;0,"Ada","Tidak Ada")</f>
        <v>Tidak Ada</v>
      </c>
      <c r="O258" s="41" t="str">
        <f aca="false">IF(M258&gt;0,MIN(J258:L258),"-")</f>
        <v>-</v>
      </c>
      <c r="P258" s="41" t="str">
        <f aca="false">IF(M258&gt;0,AVERAGE(J258:L258),"-")</f>
        <v>-</v>
      </c>
      <c r="Q258" s="41" t="str">
        <f aca="false">IF(M258&gt;0,O258-G258,"-")</f>
        <v>-</v>
      </c>
      <c r="R258" s="42" t="str">
        <f aca="false">IF(M258&gt;0,IFERROR(Q258/O258,"-"),"-")</f>
        <v>-</v>
      </c>
      <c r="S258" s="41" t="n">
        <f aca="false">IF(M258&gt;0,ROUND(MAX(G258*1.08,O258*0.97)/100,0)*100,ROUND(G258*1.12/100,0)*100)</f>
        <v>11600</v>
      </c>
      <c r="T258" s="42" t="n">
        <f aca="false">IFERROR((S258-G258)/S258,"-")</f>
        <v>0.110775862068966</v>
      </c>
    </row>
    <row r="259" customFormat="false" ht="15" hidden="false" customHeight="false" outlineLevel="0" collapsed="false">
      <c r="A259" s="8" t="s">
        <v>2048</v>
      </c>
      <c r="B259" s="8" t="s">
        <v>2052</v>
      </c>
      <c r="C259" s="8" t="s">
        <v>2053</v>
      </c>
      <c r="D259" s="8" t="s">
        <v>39</v>
      </c>
      <c r="E259" s="8" t="n">
        <v>15000</v>
      </c>
      <c r="F259" s="38" t="n">
        <f aca="false">IFERROR(VALUE(SUBSTITUTE(SUBSTITUTE('byU INDOFLAZ'!E3,"Rp. ",""),".","")),'byU INDOFLAZ'!E3)</f>
        <v>15430</v>
      </c>
      <c r="G259" s="38" t="n">
        <f aca="false">IFERROR(VALUE(SUBSTITUTE(SUBSTITUTE('byU INDOFLAZ'!F3,"Rp. ",""),".","")),'byU INDOFLAZ'!F3)</f>
        <v>15230</v>
      </c>
      <c r="H259" s="38" t="n">
        <f aca="false">IFERROR(VALUE(SUBSTITUTE(SUBSTITUTE('byU INDOFLAZ'!G3,"Rp. ",""),".","")),'byU INDOFLAZ'!G3)</f>
        <v>15030</v>
      </c>
      <c r="I259" s="8" t="s">
        <v>2625</v>
      </c>
      <c r="J259" s="39"/>
      <c r="K259" s="39"/>
      <c r="L259" s="39"/>
      <c r="M259" s="8" t="n">
        <f aca="false">COUNT(J259:L259)</f>
        <v>0</v>
      </c>
      <c r="N259" s="40" t="str">
        <f aca="false">IF(M259&gt;0,"Ada","Tidak Ada")</f>
        <v>Tidak Ada</v>
      </c>
      <c r="O259" s="41" t="str">
        <f aca="false">IF(M259&gt;0,MIN(J259:L259),"-")</f>
        <v>-</v>
      </c>
      <c r="P259" s="41" t="str">
        <f aca="false">IF(M259&gt;0,AVERAGE(J259:L259),"-")</f>
        <v>-</v>
      </c>
      <c r="Q259" s="41" t="str">
        <f aca="false">IF(M259&gt;0,O259-G259,"-")</f>
        <v>-</v>
      </c>
      <c r="R259" s="42" t="str">
        <f aca="false">IF(M259&gt;0,IFERROR(Q259/O259,"-"),"-")</f>
        <v>-</v>
      </c>
      <c r="S259" s="41" t="n">
        <f aca="false">IF(M259&gt;0,ROUND(MAX(G259*1.08,O259*0.97)/100,0)*100,ROUND(G259*1.12/100,0)*100)</f>
        <v>17100</v>
      </c>
      <c r="T259" s="42" t="n">
        <f aca="false">IFERROR((S259-G259)/S259,"-")</f>
        <v>0.109356725146199</v>
      </c>
    </row>
    <row r="260" customFormat="false" ht="15" hidden="false" customHeight="false" outlineLevel="0" collapsed="false">
      <c r="A260" s="8" t="s">
        <v>2048</v>
      </c>
      <c r="B260" s="8" t="s">
        <v>2058</v>
      </c>
      <c r="C260" s="8" t="s">
        <v>2059</v>
      </c>
      <c r="D260" s="8" t="s">
        <v>39</v>
      </c>
      <c r="E260" s="8" t="n">
        <v>20000</v>
      </c>
      <c r="F260" s="38" t="n">
        <f aca="false">IFERROR(VALUE(SUBSTITUTE(SUBSTITUTE('byU INDOFLAZ'!E4,"Rp. ",""),".","")),'byU INDOFLAZ'!E4)</f>
        <v>20335</v>
      </c>
      <c r="G260" s="38" t="n">
        <f aca="false">IFERROR(VALUE(SUBSTITUTE(SUBSTITUTE('byU INDOFLAZ'!F4,"Rp. ",""),".","")),'byU INDOFLAZ'!F4)</f>
        <v>20135</v>
      </c>
      <c r="H260" s="38" t="n">
        <f aca="false">IFERROR(VALUE(SUBSTITUTE(SUBSTITUTE('byU INDOFLAZ'!G4,"Rp. ",""),".","")),'byU INDOFLAZ'!G4)</f>
        <v>19935</v>
      </c>
      <c r="I260" s="8" t="s">
        <v>2625</v>
      </c>
      <c r="J260" s="39"/>
      <c r="K260" s="39"/>
      <c r="L260" s="39"/>
      <c r="M260" s="8" t="n">
        <f aca="false">COUNT(J260:L260)</f>
        <v>0</v>
      </c>
      <c r="N260" s="40" t="str">
        <f aca="false">IF(M260&gt;0,"Ada","Tidak Ada")</f>
        <v>Tidak Ada</v>
      </c>
      <c r="O260" s="41" t="str">
        <f aca="false">IF(M260&gt;0,MIN(J260:L260),"-")</f>
        <v>-</v>
      </c>
      <c r="P260" s="41" t="str">
        <f aca="false">IF(M260&gt;0,AVERAGE(J260:L260),"-")</f>
        <v>-</v>
      </c>
      <c r="Q260" s="41" t="str">
        <f aca="false">IF(M260&gt;0,O260-G260,"-")</f>
        <v>-</v>
      </c>
      <c r="R260" s="42" t="str">
        <f aca="false">IF(M260&gt;0,IFERROR(Q260/O260,"-"),"-")</f>
        <v>-</v>
      </c>
      <c r="S260" s="41" t="n">
        <f aca="false">IF(M260&gt;0,ROUND(MAX(G260*1.08,O260*0.97)/100,0)*100,ROUND(G260*1.12/100,0)*100)</f>
        <v>22600</v>
      </c>
      <c r="T260" s="42" t="n">
        <f aca="false">IFERROR((S260-G260)/S260,"-")</f>
        <v>0.109070796460177</v>
      </c>
    </row>
    <row r="261" customFormat="false" ht="15" hidden="false" customHeight="false" outlineLevel="0" collapsed="false">
      <c r="A261" s="8" t="s">
        <v>2048</v>
      </c>
      <c r="B261" s="8" t="s">
        <v>2064</v>
      </c>
      <c r="C261" s="8" t="s">
        <v>2065</v>
      </c>
      <c r="D261" s="8" t="s">
        <v>39</v>
      </c>
      <c r="E261" s="8" t="n">
        <v>25000</v>
      </c>
      <c r="F261" s="38" t="n">
        <f aca="false">IFERROR(VALUE(SUBSTITUTE(SUBSTITUTE('byU INDOFLAZ'!E5,"Rp. ",""),".","")),'byU INDOFLAZ'!E5)</f>
        <v>25235</v>
      </c>
      <c r="G261" s="38" t="n">
        <f aca="false">IFERROR(VALUE(SUBSTITUTE(SUBSTITUTE('byU INDOFLAZ'!F5,"Rp. ",""),".","")),'byU INDOFLAZ'!F5)</f>
        <v>25035</v>
      </c>
      <c r="H261" s="38" t="n">
        <f aca="false">IFERROR(VALUE(SUBSTITUTE(SUBSTITUTE('byU INDOFLAZ'!G5,"Rp. ",""),".","")),'byU INDOFLAZ'!G5)</f>
        <v>24835</v>
      </c>
      <c r="I261" s="8" t="s">
        <v>2625</v>
      </c>
      <c r="J261" s="39"/>
      <c r="K261" s="39"/>
      <c r="L261" s="39"/>
      <c r="M261" s="8" t="n">
        <f aca="false">COUNT(J261:L261)</f>
        <v>0</v>
      </c>
      <c r="N261" s="40" t="str">
        <f aca="false">IF(M261&gt;0,"Ada","Tidak Ada")</f>
        <v>Tidak Ada</v>
      </c>
      <c r="O261" s="41" t="str">
        <f aca="false">IF(M261&gt;0,MIN(J261:L261),"-")</f>
        <v>-</v>
      </c>
      <c r="P261" s="41" t="str">
        <f aca="false">IF(M261&gt;0,AVERAGE(J261:L261),"-")</f>
        <v>-</v>
      </c>
      <c r="Q261" s="41" t="str">
        <f aca="false">IF(M261&gt;0,O261-G261,"-")</f>
        <v>-</v>
      </c>
      <c r="R261" s="42" t="str">
        <f aca="false">IF(M261&gt;0,IFERROR(Q261/O261,"-"),"-")</f>
        <v>-</v>
      </c>
      <c r="S261" s="41" t="n">
        <f aca="false">IF(M261&gt;0,ROUND(MAX(G261*1.08,O261*0.97)/100,0)*100,ROUND(G261*1.12/100,0)*100)</f>
        <v>28000</v>
      </c>
      <c r="T261" s="42" t="n">
        <f aca="false">IFERROR((S261-G261)/S261,"-")</f>
        <v>0.105892857142857</v>
      </c>
    </row>
    <row r="262" customFormat="false" ht="15" hidden="false" customHeight="false" outlineLevel="0" collapsed="false">
      <c r="A262" s="8" t="s">
        <v>2048</v>
      </c>
      <c r="B262" s="8" t="s">
        <v>2070</v>
      </c>
      <c r="C262" s="8" t="s">
        <v>2071</v>
      </c>
      <c r="D262" s="8" t="s">
        <v>39</v>
      </c>
      <c r="E262" s="8" t="n">
        <v>30000</v>
      </c>
      <c r="F262" s="38" t="n">
        <f aca="false">IFERROR(VALUE(SUBSTITUTE(SUBSTITUTE('byU INDOFLAZ'!E6,"Rp. ",""),".","")),'byU INDOFLAZ'!E6)</f>
        <v>30025</v>
      </c>
      <c r="G262" s="38" t="n">
        <f aca="false">IFERROR(VALUE(SUBSTITUTE(SUBSTITUTE('byU INDOFLAZ'!F6,"Rp. ",""),".","")),'byU INDOFLAZ'!F6)</f>
        <v>29825</v>
      </c>
      <c r="H262" s="38" t="n">
        <f aca="false">IFERROR(VALUE(SUBSTITUTE(SUBSTITUTE('byU INDOFLAZ'!G6,"Rp. ",""),".","")),'byU INDOFLAZ'!G6)</f>
        <v>29625</v>
      </c>
      <c r="I262" s="8" t="s">
        <v>2625</v>
      </c>
      <c r="J262" s="39"/>
      <c r="K262" s="39"/>
      <c r="L262" s="39"/>
      <c r="M262" s="8" t="n">
        <f aca="false">COUNT(J262:L262)</f>
        <v>0</v>
      </c>
      <c r="N262" s="40" t="str">
        <f aca="false">IF(M262&gt;0,"Ada","Tidak Ada")</f>
        <v>Tidak Ada</v>
      </c>
      <c r="O262" s="41" t="str">
        <f aca="false">IF(M262&gt;0,MIN(J262:L262),"-")</f>
        <v>-</v>
      </c>
      <c r="P262" s="41" t="str">
        <f aca="false">IF(M262&gt;0,AVERAGE(J262:L262),"-")</f>
        <v>-</v>
      </c>
      <c r="Q262" s="41" t="str">
        <f aca="false">IF(M262&gt;0,O262-G262,"-")</f>
        <v>-</v>
      </c>
      <c r="R262" s="42" t="str">
        <f aca="false">IF(M262&gt;0,IFERROR(Q262/O262,"-"),"-")</f>
        <v>-</v>
      </c>
      <c r="S262" s="41" t="n">
        <f aca="false">IF(M262&gt;0,ROUND(MAX(G262*1.08,O262*0.97)/100,0)*100,ROUND(G262*1.12/100,0)*100)</f>
        <v>33400</v>
      </c>
      <c r="T262" s="42" t="n">
        <f aca="false">IFERROR((S262-G262)/S262,"-")</f>
        <v>0.107035928143713</v>
      </c>
    </row>
    <row r="263" customFormat="false" ht="15" hidden="false" customHeight="false" outlineLevel="0" collapsed="false">
      <c r="A263" s="8" t="s">
        <v>2048</v>
      </c>
      <c r="B263" s="8" t="s">
        <v>2076</v>
      </c>
      <c r="C263" s="8" t="s">
        <v>2077</v>
      </c>
      <c r="D263" s="8" t="s">
        <v>39</v>
      </c>
      <c r="E263" s="8" t="n">
        <v>35000</v>
      </c>
      <c r="F263" s="38" t="n">
        <f aca="false">IFERROR(VALUE(SUBSTITUTE(SUBSTITUTE('byU INDOFLAZ'!E7,"Rp. ",""),".","")),'byU INDOFLAZ'!E7)</f>
        <v>35230</v>
      </c>
      <c r="G263" s="38" t="n">
        <f aca="false">IFERROR(VALUE(SUBSTITUTE(SUBSTITUTE('byU INDOFLAZ'!F7,"Rp. ",""),".","")),'byU INDOFLAZ'!F7)</f>
        <v>35030</v>
      </c>
      <c r="H263" s="38" t="n">
        <f aca="false">IFERROR(VALUE(SUBSTITUTE(SUBSTITUTE('byU INDOFLAZ'!G7,"Rp. ",""),".","")),'byU INDOFLAZ'!G7)</f>
        <v>34830</v>
      </c>
      <c r="I263" s="8" t="s">
        <v>2625</v>
      </c>
      <c r="J263" s="39"/>
      <c r="K263" s="39"/>
      <c r="L263" s="39"/>
      <c r="M263" s="8" t="n">
        <f aca="false">COUNT(J263:L263)</f>
        <v>0</v>
      </c>
      <c r="N263" s="40" t="str">
        <f aca="false">IF(M263&gt;0,"Ada","Tidak Ada")</f>
        <v>Tidak Ada</v>
      </c>
      <c r="O263" s="41" t="str">
        <f aca="false">IF(M263&gt;0,MIN(J263:L263),"-")</f>
        <v>-</v>
      </c>
      <c r="P263" s="41" t="str">
        <f aca="false">IF(M263&gt;0,AVERAGE(J263:L263),"-")</f>
        <v>-</v>
      </c>
      <c r="Q263" s="41" t="str">
        <f aca="false">IF(M263&gt;0,O263-G263,"-")</f>
        <v>-</v>
      </c>
      <c r="R263" s="42" t="str">
        <f aca="false">IF(M263&gt;0,IFERROR(Q263/O263,"-"),"-")</f>
        <v>-</v>
      </c>
      <c r="S263" s="41" t="n">
        <f aca="false">IF(M263&gt;0,ROUND(MAX(G263*1.08,O263*0.97)/100,0)*100,ROUND(G263*1.12/100,0)*100)</f>
        <v>39200</v>
      </c>
      <c r="T263" s="42" t="n">
        <f aca="false">IFERROR((S263-G263)/S263,"-")</f>
        <v>0.106377551020408</v>
      </c>
    </row>
    <row r="264" customFormat="false" ht="15" hidden="false" customHeight="false" outlineLevel="0" collapsed="false">
      <c r="A264" s="8" t="s">
        <v>2048</v>
      </c>
      <c r="B264" s="8" t="s">
        <v>2082</v>
      </c>
      <c r="C264" s="8" t="s">
        <v>2083</v>
      </c>
      <c r="D264" s="8" t="s">
        <v>39</v>
      </c>
      <c r="E264" s="8" t="n">
        <v>40000</v>
      </c>
      <c r="F264" s="38" t="n">
        <f aca="false">IFERROR(VALUE(SUBSTITUTE(SUBSTITUTE('byU INDOFLAZ'!E8,"Rp. ",""),".","")),'byU INDOFLAZ'!E8)</f>
        <v>40375</v>
      </c>
      <c r="G264" s="38" t="n">
        <f aca="false">IFERROR(VALUE(SUBSTITUTE(SUBSTITUTE('byU INDOFLAZ'!F8,"Rp. ",""),".","")),'byU INDOFLAZ'!F8)</f>
        <v>40175</v>
      </c>
      <c r="H264" s="38" t="n">
        <f aca="false">IFERROR(VALUE(SUBSTITUTE(SUBSTITUTE('byU INDOFLAZ'!G8,"Rp. ",""),".","")),'byU INDOFLAZ'!G8)</f>
        <v>39975</v>
      </c>
      <c r="I264" s="8" t="s">
        <v>2625</v>
      </c>
      <c r="J264" s="39"/>
      <c r="K264" s="39"/>
      <c r="L264" s="39"/>
      <c r="M264" s="8" t="n">
        <f aca="false">COUNT(J264:L264)</f>
        <v>0</v>
      </c>
      <c r="N264" s="40" t="str">
        <f aca="false">IF(M264&gt;0,"Ada","Tidak Ada")</f>
        <v>Tidak Ada</v>
      </c>
      <c r="O264" s="41" t="str">
        <f aca="false">IF(M264&gt;0,MIN(J264:L264),"-")</f>
        <v>-</v>
      </c>
      <c r="P264" s="41" t="str">
        <f aca="false">IF(M264&gt;0,AVERAGE(J264:L264),"-")</f>
        <v>-</v>
      </c>
      <c r="Q264" s="41" t="str">
        <f aca="false">IF(M264&gt;0,O264-G264,"-")</f>
        <v>-</v>
      </c>
      <c r="R264" s="42" t="str">
        <f aca="false">IF(M264&gt;0,IFERROR(Q264/O264,"-"),"-")</f>
        <v>-</v>
      </c>
      <c r="S264" s="41" t="n">
        <f aca="false">IF(M264&gt;0,ROUND(MAX(G264*1.08,O264*0.97)/100,0)*100,ROUND(G264*1.12/100,0)*100)</f>
        <v>45000</v>
      </c>
      <c r="T264" s="42" t="n">
        <f aca="false">IFERROR((S264-G264)/S264,"-")</f>
        <v>0.107222222222222</v>
      </c>
    </row>
    <row r="265" customFormat="false" ht="15" hidden="false" customHeight="false" outlineLevel="0" collapsed="false">
      <c r="A265" s="8" t="s">
        <v>2048</v>
      </c>
      <c r="B265" s="8" t="s">
        <v>2088</v>
      </c>
      <c r="C265" s="8" t="s">
        <v>2089</v>
      </c>
      <c r="D265" s="8" t="s">
        <v>39</v>
      </c>
      <c r="E265" s="8" t="n">
        <v>45000</v>
      </c>
      <c r="F265" s="38" t="n">
        <f aca="false">IFERROR(VALUE(SUBSTITUTE(SUBSTITUTE('byU INDOFLAZ'!E9,"Rp. ",""),".","")),'byU INDOFLAZ'!E9)</f>
        <v>45145</v>
      </c>
      <c r="G265" s="38" t="n">
        <f aca="false">IFERROR(VALUE(SUBSTITUTE(SUBSTITUTE('byU INDOFLAZ'!F9,"Rp. ",""),".","")),'byU INDOFLAZ'!F9)</f>
        <v>44945</v>
      </c>
      <c r="H265" s="38" t="n">
        <f aca="false">IFERROR(VALUE(SUBSTITUTE(SUBSTITUTE('byU INDOFLAZ'!G9,"Rp. ",""),".","")),'byU INDOFLAZ'!G9)</f>
        <v>44745</v>
      </c>
      <c r="I265" s="8" t="s">
        <v>2625</v>
      </c>
      <c r="J265" s="39"/>
      <c r="K265" s="39"/>
      <c r="L265" s="39"/>
      <c r="M265" s="8" t="n">
        <f aca="false">COUNT(J265:L265)</f>
        <v>0</v>
      </c>
      <c r="N265" s="40" t="str">
        <f aca="false">IF(M265&gt;0,"Ada","Tidak Ada")</f>
        <v>Tidak Ada</v>
      </c>
      <c r="O265" s="41" t="str">
        <f aca="false">IF(M265&gt;0,MIN(J265:L265),"-")</f>
        <v>-</v>
      </c>
      <c r="P265" s="41" t="str">
        <f aca="false">IF(M265&gt;0,AVERAGE(J265:L265),"-")</f>
        <v>-</v>
      </c>
      <c r="Q265" s="41" t="str">
        <f aca="false">IF(M265&gt;0,O265-G265,"-")</f>
        <v>-</v>
      </c>
      <c r="R265" s="42" t="str">
        <f aca="false">IF(M265&gt;0,IFERROR(Q265/O265,"-"),"-")</f>
        <v>-</v>
      </c>
      <c r="S265" s="41" t="n">
        <f aca="false">IF(M265&gt;0,ROUND(MAX(G265*1.08,O265*0.97)/100,0)*100,ROUND(G265*1.12/100,0)*100)</f>
        <v>50300</v>
      </c>
      <c r="T265" s="42" t="n">
        <f aca="false">IFERROR((S265-G265)/S265,"-")</f>
        <v>0.106461232604374</v>
      </c>
    </row>
    <row r="266" customFormat="false" ht="15" hidden="false" customHeight="false" outlineLevel="0" collapsed="false">
      <c r="A266" s="8" t="s">
        <v>2048</v>
      </c>
      <c r="B266" s="8" t="s">
        <v>2093</v>
      </c>
      <c r="C266" s="8" t="s">
        <v>2094</v>
      </c>
      <c r="D266" s="8" t="s">
        <v>39</v>
      </c>
      <c r="E266" s="8" t="n">
        <v>50000</v>
      </c>
      <c r="F266" s="38" t="n">
        <f aca="false">IFERROR(VALUE(SUBSTITUTE(SUBSTITUTE('byU INDOFLAZ'!E10,"Rp. ",""),".","")),'byU INDOFLAZ'!E10)</f>
        <v>50375</v>
      </c>
      <c r="G266" s="38" t="n">
        <f aca="false">IFERROR(VALUE(SUBSTITUTE(SUBSTITUTE('byU INDOFLAZ'!F10,"Rp. ",""),".","")),'byU INDOFLAZ'!F10)</f>
        <v>50175</v>
      </c>
      <c r="H266" s="38" t="n">
        <f aca="false">IFERROR(VALUE(SUBSTITUTE(SUBSTITUTE('byU INDOFLAZ'!G10,"Rp. ",""),".","")),'byU INDOFLAZ'!G10)</f>
        <v>49975</v>
      </c>
      <c r="I266" s="8" t="s">
        <v>2625</v>
      </c>
      <c r="J266" s="39"/>
      <c r="K266" s="39"/>
      <c r="L266" s="39"/>
      <c r="M266" s="8" t="n">
        <f aca="false">COUNT(J266:L266)</f>
        <v>0</v>
      </c>
      <c r="N266" s="40" t="str">
        <f aca="false">IF(M266&gt;0,"Ada","Tidak Ada")</f>
        <v>Tidak Ada</v>
      </c>
      <c r="O266" s="41" t="str">
        <f aca="false">IF(M266&gt;0,MIN(J266:L266),"-")</f>
        <v>-</v>
      </c>
      <c r="P266" s="41" t="str">
        <f aca="false">IF(M266&gt;0,AVERAGE(J266:L266),"-")</f>
        <v>-</v>
      </c>
      <c r="Q266" s="41" t="str">
        <f aca="false">IF(M266&gt;0,O266-G266,"-")</f>
        <v>-</v>
      </c>
      <c r="R266" s="42" t="str">
        <f aca="false">IF(M266&gt;0,IFERROR(Q266/O266,"-"),"-")</f>
        <v>-</v>
      </c>
      <c r="S266" s="41" t="n">
        <f aca="false">IF(M266&gt;0,ROUND(MAX(G266*1.08,O266*0.97)/100,0)*100,ROUND(G266*1.12/100,0)*100)</f>
        <v>56200</v>
      </c>
      <c r="T266" s="42" t="n">
        <f aca="false">IFERROR((S266-G266)/S266,"-")</f>
        <v>0.10720640569395</v>
      </c>
    </row>
    <row r="267" customFormat="false" ht="15" hidden="false" customHeight="false" outlineLevel="0" collapsed="false">
      <c r="A267" s="8" t="s">
        <v>2048</v>
      </c>
      <c r="B267" s="8" t="s">
        <v>2099</v>
      </c>
      <c r="C267" s="8" t="s">
        <v>2100</v>
      </c>
      <c r="D267" s="8" t="s">
        <v>39</v>
      </c>
      <c r="E267" s="8" t="n">
        <v>55000</v>
      </c>
      <c r="F267" s="38" t="n">
        <f aca="false">IFERROR(VALUE(SUBSTITUTE(SUBSTITUTE('byU INDOFLAZ'!E11,"Rp. ",""),".","")),'byU INDOFLAZ'!E11)</f>
        <v>55045</v>
      </c>
      <c r="G267" s="38" t="n">
        <f aca="false">IFERROR(VALUE(SUBSTITUTE(SUBSTITUTE('byU INDOFLAZ'!F11,"Rp. ",""),".","")),'byU INDOFLAZ'!F11)</f>
        <v>54845</v>
      </c>
      <c r="H267" s="38" t="n">
        <f aca="false">IFERROR(VALUE(SUBSTITUTE(SUBSTITUTE('byU INDOFLAZ'!G11,"Rp. ",""),".","")),'byU INDOFLAZ'!G11)</f>
        <v>54645</v>
      </c>
      <c r="I267" s="8" t="s">
        <v>2625</v>
      </c>
      <c r="J267" s="39"/>
      <c r="K267" s="39"/>
      <c r="L267" s="39"/>
      <c r="M267" s="8" t="n">
        <f aca="false">COUNT(J267:L267)</f>
        <v>0</v>
      </c>
      <c r="N267" s="40" t="str">
        <f aca="false">IF(M267&gt;0,"Ada","Tidak Ada")</f>
        <v>Tidak Ada</v>
      </c>
      <c r="O267" s="41" t="str">
        <f aca="false">IF(M267&gt;0,MIN(J267:L267),"-")</f>
        <v>-</v>
      </c>
      <c r="P267" s="41" t="str">
        <f aca="false">IF(M267&gt;0,AVERAGE(J267:L267),"-")</f>
        <v>-</v>
      </c>
      <c r="Q267" s="41" t="str">
        <f aca="false">IF(M267&gt;0,O267-G267,"-")</f>
        <v>-</v>
      </c>
      <c r="R267" s="42" t="str">
        <f aca="false">IF(M267&gt;0,IFERROR(Q267/O267,"-"),"-")</f>
        <v>-</v>
      </c>
      <c r="S267" s="41" t="n">
        <f aca="false">IF(M267&gt;0,ROUND(MAX(G267*1.08,O267*0.97)/100,0)*100,ROUND(G267*1.12/100,0)*100)</f>
        <v>61400</v>
      </c>
      <c r="T267" s="42" t="n">
        <f aca="false">IFERROR((S267-G267)/S267,"-")</f>
        <v>0.106758957654723</v>
      </c>
    </row>
    <row r="268" customFormat="false" ht="15" hidden="false" customHeight="false" outlineLevel="0" collapsed="false">
      <c r="A268" s="8" t="s">
        <v>2048</v>
      </c>
      <c r="B268" s="8" t="s">
        <v>2105</v>
      </c>
      <c r="C268" s="8" t="s">
        <v>2106</v>
      </c>
      <c r="D268" s="8" t="s">
        <v>39</v>
      </c>
      <c r="E268" s="8" t="n">
        <v>60000</v>
      </c>
      <c r="F268" s="38" t="n">
        <f aca="false">IFERROR(VALUE(SUBSTITUTE(SUBSTITUTE('byU INDOFLAZ'!E12,"Rp. ",""),".","")),'byU INDOFLAZ'!E12)</f>
        <v>59995</v>
      </c>
      <c r="G268" s="38" t="n">
        <f aca="false">IFERROR(VALUE(SUBSTITUTE(SUBSTITUTE('byU INDOFLAZ'!F12,"Rp. ",""),".","")),'byU INDOFLAZ'!F12)</f>
        <v>59795</v>
      </c>
      <c r="H268" s="38" t="n">
        <f aca="false">IFERROR(VALUE(SUBSTITUTE(SUBSTITUTE('byU INDOFLAZ'!G12,"Rp. ",""),".","")),'byU INDOFLAZ'!G12)</f>
        <v>59595</v>
      </c>
      <c r="I268" s="8" t="s">
        <v>2625</v>
      </c>
      <c r="J268" s="39"/>
      <c r="K268" s="39"/>
      <c r="L268" s="39"/>
      <c r="M268" s="8" t="n">
        <f aca="false">COUNT(J268:L268)</f>
        <v>0</v>
      </c>
      <c r="N268" s="40" t="str">
        <f aca="false">IF(M268&gt;0,"Ada","Tidak Ada")</f>
        <v>Tidak Ada</v>
      </c>
      <c r="O268" s="41" t="str">
        <f aca="false">IF(M268&gt;0,MIN(J268:L268),"-")</f>
        <v>-</v>
      </c>
      <c r="P268" s="41" t="str">
        <f aca="false">IF(M268&gt;0,AVERAGE(J268:L268),"-")</f>
        <v>-</v>
      </c>
      <c r="Q268" s="41" t="str">
        <f aca="false">IF(M268&gt;0,O268-G268,"-")</f>
        <v>-</v>
      </c>
      <c r="R268" s="42" t="str">
        <f aca="false">IF(M268&gt;0,IFERROR(Q268/O268,"-"),"-")</f>
        <v>-</v>
      </c>
      <c r="S268" s="41" t="n">
        <f aca="false">IF(M268&gt;0,ROUND(MAX(G268*1.08,O268*0.97)/100,0)*100,ROUND(G268*1.12/100,0)*100)</f>
        <v>67000</v>
      </c>
      <c r="T268" s="42" t="n">
        <f aca="false">IFERROR((S268-G268)/S268,"-")</f>
        <v>0.107537313432836</v>
      </c>
    </row>
    <row r="269" customFormat="false" ht="15" hidden="false" customHeight="false" outlineLevel="0" collapsed="false">
      <c r="A269" s="8" t="s">
        <v>2048</v>
      </c>
      <c r="B269" s="8" t="s">
        <v>2111</v>
      </c>
      <c r="C269" s="8" t="s">
        <v>2112</v>
      </c>
      <c r="D269" s="8" t="s">
        <v>39</v>
      </c>
      <c r="E269" s="8" t="n">
        <v>65000</v>
      </c>
      <c r="F269" s="38" t="n">
        <f aca="false">IFERROR(VALUE(SUBSTITUTE(SUBSTITUTE('byU INDOFLAZ'!E13,"Rp. ",""),".","")),'byU INDOFLAZ'!E13)</f>
        <v>64950</v>
      </c>
      <c r="G269" s="38" t="n">
        <f aca="false">IFERROR(VALUE(SUBSTITUTE(SUBSTITUTE('byU INDOFLAZ'!F13,"Rp. ",""),".","")),'byU INDOFLAZ'!F13)</f>
        <v>64750</v>
      </c>
      <c r="H269" s="38" t="n">
        <f aca="false">IFERROR(VALUE(SUBSTITUTE(SUBSTITUTE('byU INDOFLAZ'!G13,"Rp. ",""),".","")),'byU INDOFLAZ'!G13)</f>
        <v>64550</v>
      </c>
      <c r="I269" s="8" t="s">
        <v>2625</v>
      </c>
      <c r="J269" s="39"/>
      <c r="K269" s="39"/>
      <c r="L269" s="39"/>
      <c r="M269" s="8" t="n">
        <f aca="false">COUNT(J269:L269)</f>
        <v>0</v>
      </c>
      <c r="N269" s="40" t="str">
        <f aca="false">IF(M269&gt;0,"Ada","Tidak Ada")</f>
        <v>Tidak Ada</v>
      </c>
      <c r="O269" s="41" t="str">
        <f aca="false">IF(M269&gt;0,MIN(J269:L269),"-")</f>
        <v>-</v>
      </c>
      <c r="P269" s="41" t="str">
        <f aca="false">IF(M269&gt;0,AVERAGE(J269:L269),"-")</f>
        <v>-</v>
      </c>
      <c r="Q269" s="41" t="str">
        <f aca="false">IF(M269&gt;0,O269-G269,"-")</f>
        <v>-</v>
      </c>
      <c r="R269" s="42" t="str">
        <f aca="false">IF(M269&gt;0,IFERROR(Q269/O269,"-"),"-")</f>
        <v>-</v>
      </c>
      <c r="S269" s="41" t="n">
        <f aca="false">IF(M269&gt;0,ROUND(MAX(G269*1.08,O269*0.97)/100,0)*100,ROUND(G269*1.12/100,0)*100)</f>
        <v>72500</v>
      </c>
      <c r="T269" s="42" t="n">
        <f aca="false">IFERROR((S269-G269)/S269,"-")</f>
        <v>0.106896551724138</v>
      </c>
    </row>
    <row r="270" customFormat="false" ht="15" hidden="false" customHeight="false" outlineLevel="0" collapsed="false">
      <c r="A270" s="8" t="s">
        <v>2048</v>
      </c>
      <c r="B270" s="8" t="s">
        <v>2117</v>
      </c>
      <c r="C270" s="8" t="s">
        <v>2118</v>
      </c>
      <c r="D270" s="8" t="s">
        <v>39</v>
      </c>
      <c r="E270" s="8" t="n">
        <v>70000</v>
      </c>
      <c r="F270" s="38" t="n">
        <f aca="false">IFERROR(VALUE(SUBSTITUTE(SUBSTITUTE('byU INDOFLAZ'!E14,"Rp. ",""),".","")),'byU INDOFLAZ'!E14)</f>
        <v>69875</v>
      </c>
      <c r="G270" s="38" t="n">
        <f aca="false">IFERROR(VALUE(SUBSTITUTE(SUBSTITUTE('byU INDOFLAZ'!F14,"Rp. ",""),".","")),'byU INDOFLAZ'!F14)</f>
        <v>69675</v>
      </c>
      <c r="H270" s="38" t="n">
        <f aca="false">IFERROR(VALUE(SUBSTITUTE(SUBSTITUTE('byU INDOFLAZ'!G14,"Rp. ",""),".","")),'byU INDOFLAZ'!G14)</f>
        <v>69475</v>
      </c>
      <c r="I270" s="8" t="s">
        <v>2625</v>
      </c>
      <c r="J270" s="39"/>
      <c r="K270" s="39"/>
      <c r="L270" s="39"/>
      <c r="M270" s="8" t="n">
        <f aca="false">COUNT(J270:L270)</f>
        <v>0</v>
      </c>
      <c r="N270" s="40" t="str">
        <f aca="false">IF(M270&gt;0,"Ada","Tidak Ada")</f>
        <v>Tidak Ada</v>
      </c>
      <c r="O270" s="41" t="str">
        <f aca="false">IF(M270&gt;0,MIN(J270:L270),"-")</f>
        <v>-</v>
      </c>
      <c r="P270" s="41" t="str">
        <f aca="false">IF(M270&gt;0,AVERAGE(J270:L270),"-")</f>
        <v>-</v>
      </c>
      <c r="Q270" s="41" t="str">
        <f aca="false">IF(M270&gt;0,O270-G270,"-")</f>
        <v>-</v>
      </c>
      <c r="R270" s="42" t="str">
        <f aca="false">IF(M270&gt;0,IFERROR(Q270/O270,"-"),"-")</f>
        <v>-</v>
      </c>
      <c r="S270" s="41" t="n">
        <f aca="false">IF(M270&gt;0,ROUND(MAX(G270*1.08,O270*0.97)/100,0)*100,ROUND(G270*1.12/100,0)*100)</f>
        <v>78000</v>
      </c>
      <c r="T270" s="42" t="n">
        <f aca="false">IFERROR((S270-G270)/S270,"-")</f>
        <v>0.106730769230769</v>
      </c>
    </row>
    <row r="271" customFormat="false" ht="15" hidden="false" customHeight="false" outlineLevel="0" collapsed="false">
      <c r="A271" s="8" t="s">
        <v>2048</v>
      </c>
      <c r="B271" s="8" t="s">
        <v>2123</v>
      </c>
      <c r="C271" s="8" t="s">
        <v>2124</v>
      </c>
      <c r="D271" s="8" t="s">
        <v>39</v>
      </c>
      <c r="E271" s="8" t="n">
        <v>75000</v>
      </c>
      <c r="F271" s="38" t="n">
        <f aca="false">IFERROR(VALUE(SUBSTITUTE(SUBSTITUTE('byU INDOFLAZ'!E15,"Rp. ",""),".","")),'byU INDOFLAZ'!E15)</f>
        <v>73710</v>
      </c>
      <c r="G271" s="38" t="n">
        <f aca="false">IFERROR(VALUE(SUBSTITUTE(SUBSTITUTE('byU INDOFLAZ'!F15,"Rp. ",""),".","")),'byU INDOFLAZ'!F15)</f>
        <v>73510</v>
      </c>
      <c r="H271" s="38" t="n">
        <f aca="false">IFERROR(VALUE(SUBSTITUTE(SUBSTITUTE('byU INDOFLAZ'!G15,"Rp. ",""),".","")),'byU INDOFLAZ'!G15)</f>
        <v>73310</v>
      </c>
      <c r="I271" s="8" t="s">
        <v>2625</v>
      </c>
      <c r="J271" s="39"/>
      <c r="K271" s="39"/>
      <c r="L271" s="39"/>
      <c r="M271" s="8" t="n">
        <f aca="false">COUNT(J271:L271)</f>
        <v>0</v>
      </c>
      <c r="N271" s="40" t="str">
        <f aca="false">IF(M271&gt;0,"Ada","Tidak Ada")</f>
        <v>Tidak Ada</v>
      </c>
      <c r="O271" s="41" t="str">
        <f aca="false">IF(M271&gt;0,MIN(J271:L271),"-")</f>
        <v>-</v>
      </c>
      <c r="P271" s="41" t="str">
        <f aca="false">IF(M271&gt;0,AVERAGE(J271:L271),"-")</f>
        <v>-</v>
      </c>
      <c r="Q271" s="41" t="str">
        <f aca="false">IF(M271&gt;0,O271-G271,"-")</f>
        <v>-</v>
      </c>
      <c r="R271" s="42" t="str">
        <f aca="false">IF(M271&gt;0,IFERROR(Q271/O271,"-"),"-")</f>
        <v>-</v>
      </c>
      <c r="S271" s="41" t="n">
        <f aca="false">IF(M271&gt;0,ROUND(MAX(G271*1.08,O271*0.97)/100,0)*100,ROUND(G271*1.12/100,0)*100)</f>
        <v>82300</v>
      </c>
      <c r="T271" s="42" t="n">
        <f aca="false">IFERROR((S271-G271)/S271,"-")</f>
        <v>0.106804374240583</v>
      </c>
    </row>
    <row r="272" customFormat="false" ht="15" hidden="false" customHeight="false" outlineLevel="0" collapsed="false">
      <c r="A272" s="8" t="s">
        <v>2048</v>
      </c>
      <c r="B272" s="8" t="s">
        <v>2129</v>
      </c>
      <c r="C272" s="8" t="s">
        <v>2130</v>
      </c>
      <c r="D272" s="8" t="s">
        <v>39</v>
      </c>
      <c r="E272" s="8" t="n">
        <v>80000</v>
      </c>
      <c r="F272" s="38" t="n">
        <f aca="false">IFERROR(VALUE(SUBSTITUTE(SUBSTITUTE('byU INDOFLAZ'!E16,"Rp. ",""),".","")),'byU INDOFLAZ'!E16)</f>
        <v>79775</v>
      </c>
      <c r="G272" s="38" t="n">
        <f aca="false">IFERROR(VALUE(SUBSTITUTE(SUBSTITUTE('byU INDOFLAZ'!F16,"Rp. ",""),".","")),'byU INDOFLAZ'!F16)</f>
        <v>79575</v>
      </c>
      <c r="H272" s="38" t="n">
        <f aca="false">IFERROR(VALUE(SUBSTITUTE(SUBSTITUTE('byU INDOFLAZ'!G16,"Rp. ",""),".","")),'byU INDOFLAZ'!G16)</f>
        <v>79375</v>
      </c>
      <c r="I272" s="8" t="s">
        <v>2625</v>
      </c>
      <c r="J272" s="39"/>
      <c r="K272" s="39"/>
      <c r="L272" s="39"/>
      <c r="M272" s="8" t="n">
        <f aca="false">COUNT(J272:L272)</f>
        <v>0</v>
      </c>
      <c r="N272" s="40" t="str">
        <f aca="false">IF(M272&gt;0,"Ada","Tidak Ada")</f>
        <v>Tidak Ada</v>
      </c>
      <c r="O272" s="41" t="str">
        <f aca="false">IF(M272&gt;0,MIN(J272:L272),"-")</f>
        <v>-</v>
      </c>
      <c r="P272" s="41" t="str">
        <f aca="false">IF(M272&gt;0,AVERAGE(J272:L272),"-")</f>
        <v>-</v>
      </c>
      <c r="Q272" s="41" t="str">
        <f aca="false">IF(M272&gt;0,O272-G272,"-")</f>
        <v>-</v>
      </c>
      <c r="R272" s="42" t="str">
        <f aca="false">IF(M272&gt;0,IFERROR(Q272/O272,"-"),"-")</f>
        <v>-</v>
      </c>
      <c r="S272" s="41" t="n">
        <f aca="false">IF(M272&gt;0,ROUND(MAX(G272*1.08,O272*0.97)/100,0)*100,ROUND(G272*1.12/100,0)*100)</f>
        <v>89100</v>
      </c>
      <c r="T272" s="42" t="n">
        <f aca="false">IFERROR((S272-G272)/S272,"-")</f>
        <v>0.106902356902357</v>
      </c>
    </row>
    <row r="273" customFormat="false" ht="15" hidden="false" customHeight="false" outlineLevel="0" collapsed="false">
      <c r="A273" s="8" t="s">
        <v>2048</v>
      </c>
      <c r="B273" s="8" t="s">
        <v>2131</v>
      </c>
      <c r="C273" s="8" t="s">
        <v>2132</v>
      </c>
      <c r="D273" s="8" t="s">
        <v>39</v>
      </c>
      <c r="E273" s="8" t="n">
        <v>85000</v>
      </c>
      <c r="F273" s="38" t="n">
        <f aca="false">IFERROR(VALUE(SUBSTITUTE(SUBSTITUTE('byU INDOFLAZ'!E17,"Rp. ",""),".","")),'byU INDOFLAZ'!E17)</f>
        <v>84705</v>
      </c>
      <c r="G273" s="38" t="n">
        <f aca="false">IFERROR(VALUE(SUBSTITUTE(SUBSTITUTE('byU INDOFLAZ'!F17,"Rp. ",""),".","")),'byU INDOFLAZ'!F17)</f>
        <v>84505</v>
      </c>
      <c r="H273" s="38" t="n">
        <f aca="false">IFERROR(VALUE(SUBSTITUTE(SUBSTITUTE('byU INDOFLAZ'!G17,"Rp. ",""),".","")),'byU INDOFLAZ'!G17)</f>
        <v>84305</v>
      </c>
      <c r="I273" s="8" t="s">
        <v>2625</v>
      </c>
      <c r="J273" s="39"/>
      <c r="K273" s="39"/>
      <c r="L273" s="39"/>
      <c r="M273" s="8" t="n">
        <f aca="false">COUNT(J273:L273)</f>
        <v>0</v>
      </c>
      <c r="N273" s="40" t="str">
        <f aca="false">IF(M273&gt;0,"Ada","Tidak Ada")</f>
        <v>Tidak Ada</v>
      </c>
      <c r="O273" s="41" t="str">
        <f aca="false">IF(M273&gt;0,MIN(J273:L273),"-")</f>
        <v>-</v>
      </c>
      <c r="P273" s="41" t="str">
        <f aca="false">IF(M273&gt;0,AVERAGE(J273:L273),"-")</f>
        <v>-</v>
      </c>
      <c r="Q273" s="41" t="str">
        <f aca="false">IF(M273&gt;0,O273-G273,"-")</f>
        <v>-</v>
      </c>
      <c r="R273" s="42" t="str">
        <f aca="false">IF(M273&gt;0,IFERROR(Q273/O273,"-"),"-")</f>
        <v>-</v>
      </c>
      <c r="S273" s="41" t="n">
        <f aca="false">IF(M273&gt;0,ROUND(MAX(G273*1.08,O273*0.97)/100,0)*100,ROUND(G273*1.12/100,0)*100)</f>
        <v>94600</v>
      </c>
      <c r="T273" s="42" t="n">
        <f aca="false">IFERROR((S273-G273)/S273,"-")</f>
        <v>0.106712473572939</v>
      </c>
    </row>
    <row r="274" customFormat="false" ht="15" hidden="false" customHeight="false" outlineLevel="0" collapsed="false">
      <c r="A274" s="8" t="s">
        <v>2048</v>
      </c>
      <c r="B274" s="8" t="s">
        <v>2137</v>
      </c>
      <c r="C274" s="8" t="s">
        <v>2138</v>
      </c>
      <c r="D274" s="8" t="s">
        <v>39</v>
      </c>
      <c r="E274" s="8" t="n">
        <v>90000</v>
      </c>
      <c r="F274" s="38" t="n">
        <f aca="false">IFERROR(VALUE(SUBSTITUTE(SUBSTITUTE('byU INDOFLAZ'!E18,"Rp. ",""),".","")),'byU INDOFLAZ'!E18)</f>
        <v>89670</v>
      </c>
      <c r="G274" s="38" t="n">
        <f aca="false">IFERROR(VALUE(SUBSTITUTE(SUBSTITUTE('byU INDOFLAZ'!F18,"Rp. ",""),".","")),'byU INDOFLAZ'!F18)</f>
        <v>89470</v>
      </c>
      <c r="H274" s="38" t="n">
        <f aca="false">IFERROR(VALUE(SUBSTITUTE(SUBSTITUTE('byU INDOFLAZ'!G18,"Rp. ",""),".","")),'byU INDOFLAZ'!G18)</f>
        <v>89270</v>
      </c>
      <c r="I274" s="8" t="s">
        <v>2625</v>
      </c>
      <c r="J274" s="39"/>
      <c r="K274" s="39"/>
      <c r="L274" s="39"/>
      <c r="M274" s="8" t="n">
        <f aca="false">COUNT(J274:L274)</f>
        <v>0</v>
      </c>
      <c r="N274" s="40" t="str">
        <f aca="false">IF(M274&gt;0,"Ada","Tidak Ada")</f>
        <v>Tidak Ada</v>
      </c>
      <c r="O274" s="41" t="str">
        <f aca="false">IF(M274&gt;0,MIN(J274:L274),"-")</f>
        <v>-</v>
      </c>
      <c r="P274" s="41" t="str">
        <f aca="false">IF(M274&gt;0,AVERAGE(J274:L274),"-")</f>
        <v>-</v>
      </c>
      <c r="Q274" s="41" t="str">
        <f aca="false">IF(M274&gt;0,O274-G274,"-")</f>
        <v>-</v>
      </c>
      <c r="R274" s="42" t="str">
        <f aca="false">IF(M274&gt;0,IFERROR(Q274/O274,"-"),"-")</f>
        <v>-</v>
      </c>
      <c r="S274" s="41" t="n">
        <f aca="false">IF(M274&gt;0,ROUND(MAX(G274*1.08,O274*0.97)/100,0)*100,ROUND(G274*1.12/100,0)*100)</f>
        <v>100200</v>
      </c>
      <c r="T274" s="42" t="n">
        <f aca="false">IFERROR((S274-G274)/S274,"-")</f>
        <v>0.107085828343313</v>
      </c>
    </row>
    <row r="275" customFormat="false" ht="15" hidden="false" customHeight="false" outlineLevel="0" collapsed="false">
      <c r="A275" s="8" t="s">
        <v>2048</v>
      </c>
      <c r="B275" s="8" t="s">
        <v>2143</v>
      </c>
      <c r="C275" s="8" t="s">
        <v>2144</v>
      </c>
      <c r="D275" s="8" t="s">
        <v>39</v>
      </c>
      <c r="E275" s="8" t="n">
        <v>95000</v>
      </c>
      <c r="F275" s="38" t="n">
        <f aca="false">IFERROR(VALUE(SUBSTITUTE(SUBSTITUTE('byU INDOFLAZ'!E19,"Rp. ",""),".","")),'byU INDOFLAZ'!E19)</f>
        <v>94620</v>
      </c>
      <c r="G275" s="38" t="n">
        <f aca="false">IFERROR(VALUE(SUBSTITUTE(SUBSTITUTE('byU INDOFLAZ'!F19,"Rp. ",""),".","")),'byU INDOFLAZ'!F19)</f>
        <v>94420</v>
      </c>
      <c r="H275" s="38" t="n">
        <f aca="false">IFERROR(VALUE(SUBSTITUTE(SUBSTITUTE('byU INDOFLAZ'!G19,"Rp. ",""),".","")),'byU INDOFLAZ'!G19)</f>
        <v>94220</v>
      </c>
      <c r="I275" s="8" t="s">
        <v>2625</v>
      </c>
      <c r="J275" s="39"/>
      <c r="K275" s="39"/>
      <c r="L275" s="39"/>
      <c r="M275" s="8" t="n">
        <f aca="false">COUNT(J275:L275)</f>
        <v>0</v>
      </c>
      <c r="N275" s="40" t="str">
        <f aca="false">IF(M275&gt;0,"Ada","Tidak Ada")</f>
        <v>Tidak Ada</v>
      </c>
      <c r="O275" s="41" t="str">
        <f aca="false">IF(M275&gt;0,MIN(J275:L275),"-")</f>
        <v>-</v>
      </c>
      <c r="P275" s="41" t="str">
        <f aca="false">IF(M275&gt;0,AVERAGE(J275:L275),"-")</f>
        <v>-</v>
      </c>
      <c r="Q275" s="41" t="str">
        <f aca="false">IF(M275&gt;0,O275-G275,"-")</f>
        <v>-</v>
      </c>
      <c r="R275" s="42" t="str">
        <f aca="false">IF(M275&gt;0,IFERROR(Q275/O275,"-"),"-")</f>
        <v>-</v>
      </c>
      <c r="S275" s="41" t="n">
        <f aca="false">IF(M275&gt;0,ROUND(MAX(G275*1.08,O275*0.97)/100,0)*100,ROUND(G275*1.12/100,0)*100)</f>
        <v>105800</v>
      </c>
      <c r="T275" s="42" t="n">
        <f aca="false">IFERROR((S275-G275)/S275,"-")</f>
        <v>0.107561436672968</v>
      </c>
    </row>
    <row r="276" customFormat="false" ht="15" hidden="false" customHeight="false" outlineLevel="0" collapsed="false">
      <c r="A276" s="8" t="s">
        <v>2048</v>
      </c>
      <c r="B276" s="8" t="s">
        <v>2145</v>
      </c>
      <c r="C276" s="8" t="s">
        <v>2146</v>
      </c>
      <c r="D276" s="8" t="s">
        <v>39</v>
      </c>
      <c r="E276" s="8" t="n">
        <v>100000</v>
      </c>
      <c r="F276" s="38" t="n">
        <f aca="false">IFERROR(VALUE(SUBSTITUTE(SUBSTITUTE('byU INDOFLAZ'!E20,"Rp. ",""),".","")),'byU INDOFLAZ'!E20)</f>
        <v>99575</v>
      </c>
      <c r="G276" s="38" t="n">
        <f aca="false">IFERROR(VALUE(SUBSTITUTE(SUBSTITUTE('byU INDOFLAZ'!F20,"Rp. ",""),".","")),'byU INDOFLAZ'!F20)</f>
        <v>99375</v>
      </c>
      <c r="H276" s="38" t="n">
        <f aca="false">IFERROR(VALUE(SUBSTITUTE(SUBSTITUTE('byU INDOFLAZ'!G20,"Rp. ",""),".","")),'byU INDOFLAZ'!G20)</f>
        <v>99175</v>
      </c>
      <c r="I276" s="8" t="s">
        <v>2625</v>
      </c>
      <c r="J276" s="39"/>
      <c r="K276" s="39"/>
      <c r="L276" s="39"/>
      <c r="M276" s="8" t="n">
        <f aca="false">COUNT(J276:L276)</f>
        <v>0</v>
      </c>
      <c r="N276" s="40" t="str">
        <f aca="false">IF(M276&gt;0,"Ada","Tidak Ada")</f>
        <v>Tidak Ada</v>
      </c>
      <c r="O276" s="41" t="str">
        <f aca="false">IF(M276&gt;0,MIN(J276:L276),"-")</f>
        <v>-</v>
      </c>
      <c r="P276" s="41" t="str">
        <f aca="false">IF(M276&gt;0,AVERAGE(J276:L276),"-")</f>
        <v>-</v>
      </c>
      <c r="Q276" s="41" t="str">
        <f aca="false">IF(M276&gt;0,O276-G276,"-")</f>
        <v>-</v>
      </c>
      <c r="R276" s="42" t="str">
        <f aca="false">IF(M276&gt;0,IFERROR(Q276/O276,"-"),"-")</f>
        <v>-</v>
      </c>
      <c r="S276" s="41" t="n">
        <f aca="false">IF(M276&gt;0,ROUND(MAX(G276*1.08,O276*0.97)/100,0)*100,ROUND(G276*1.12/100,0)*100)</f>
        <v>111300</v>
      </c>
      <c r="T276" s="42" t="n">
        <f aca="false">IFERROR((S276-G276)/S276,"-")</f>
        <v>0.107142857142857</v>
      </c>
    </row>
    <row r="277" customFormat="false" ht="15" hidden="false" customHeight="false" outlineLevel="0" collapsed="false">
      <c r="A277" s="8" t="s">
        <v>2048</v>
      </c>
      <c r="B277" s="8" t="s">
        <v>2151</v>
      </c>
      <c r="C277" s="8" t="s">
        <v>2152</v>
      </c>
      <c r="D277" s="8" t="s">
        <v>39</v>
      </c>
      <c r="E277" s="8" t="n">
        <v>150000</v>
      </c>
      <c r="F277" s="38" t="n">
        <f aca="false">IFERROR(VALUE(SUBSTITUTE(SUBSTITUTE('byU INDOFLAZ'!E21,"Rp. ",""),".","")),'byU INDOFLAZ'!E21)</f>
        <v>149225</v>
      </c>
      <c r="G277" s="38" t="n">
        <f aca="false">IFERROR(VALUE(SUBSTITUTE(SUBSTITUTE('byU INDOFLAZ'!F21,"Rp. ",""),".","")),'byU INDOFLAZ'!F21)</f>
        <v>149025</v>
      </c>
      <c r="H277" s="38" t="n">
        <f aca="false">IFERROR(VALUE(SUBSTITUTE(SUBSTITUTE('byU INDOFLAZ'!G21,"Rp. ",""),".","")),'byU INDOFLAZ'!G21)</f>
        <v>148825</v>
      </c>
      <c r="I277" s="8" t="s">
        <v>2625</v>
      </c>
      <c r="J277" s="39"/>
      <c r="K277" s="39"/>
      <c r="L277" s="39"/>
      <c r="M277" s="8" t="n">
        <f aca="false">COUNT(J277:L277)</f>
        <v>0</v>
      </c>
      <c r="N277" s="40" t="str">
        <f aca="false">IF(M277&gt;0,"Ada","Tidak Ada")</f>
        <v>Tidak Ada</v>
      </c>
      <c r="O277" s="41" t="str">
        <f aca="false">IF(M277&gt;0,MIN(J277:L277),"-")</f>
        <v>-</v>
      </c>
      <c r="P277" s="41" t="str">
        <f aca="false">IF(M277&gt;0,AVERAGE(J277:L277),"-")</f>
        <v>-</v>
      </c>
      <c r="Q277" s="41" t="str">
        <f aca="false">IF(M277&gt;0,O277-G277,"-")</f>
        <v>-</v>
      </c>
      <c r="R277" s="42" t="str">
        <f aca="false">IF(M277&gt;0,IFERROR(Q277/O277,"-"),"-")</f>
        <v>-</v>
      </c>
      <c r="S277" s="41" t="n">
        <f aca="false">IF(M277&gt;0,ROUND(MAX(G277*1.08,O277*0.97)/100,0)*100,ROUND(G277*1.12/100,0)*100)</f>
        <v>166900</v>
      </c>
      <c r="T277" s="42" t="n">
        <f aca="false">IFERROR((S277-G277)/S277,"-")</f>
        <v>0.107100059916117</v>
      </c>
    </row>
    <row r="278" customFormat="false" ht="15" hidden="false" customHeight="false" outlineLevel="0" collapsed="false">
      <c r="A278" s="8" t="s">
        <v>2158</v>
      </c>
      <c r="B278" s="8" t="s">
        <v>2157</v>
      </c>
      <c r="C278" s="8" t="s">
        <v>2159</v>
      </c>
      <c r="D278" s="8" t="s">
        <v>40</v>
      </c>
      <c r="E278" s="8" t="n">
        <v>10000</v>
      </c>
      <c r="F278" s="38" t="n">
        <f aca="false">IFERROR(VALUE(SUBSTITUTE(SUBSTITUTE('Indosat INDOFLAZ'!E2,"Rp. ",""),".","")),'Indosat INDOFLAZ'!E2)</f>
        <v>11330</v>
      </c>
      <c r="G278" s="38" t="n">
        <f aca="false">IFERROR(VALUE(SUBSTITUTE(SUBSTITUTE('Indosat INDOFLAZ'!F2,"Rp. ",""),".","")),'Indosat INDOFLAZ'!F2)</f>
        <v>11130</v>
      </c>
      <c r="H278" s="38" t="n">
        <f aca="false">IFERROR(VALUE(SUBSTITUTE(SUBSTITUTE('Indosat INDOFLAZ'!G2,"Rp. ",""),".","")),'Indosat INDOFLAZ'!G2)</f>
        <v>10930</v>
      </c>
      <c r="I278" s="8" t="s">
        <v>2640</v>
      </c>
      <c r="J278" s="38" t="n">
        <f aca="false">'Indosat OURA STORE'!A6</f>
        <v>11970</v>
      </c>
      <c r="K278" s="39"/>
      <c r="L278" s="39"/>
      <c r="M278" s="8" t="n">
        <f aca="false">COUNT(J278:L278)</f>
        <v>1</v>
      </c>
      <c r="N278" s="40" t="str">
        <f aca="false">IF(M278&gt;0,"Ada","Tidak Ada")</f>
        <v>Ada</v>
      </c>
      <c r="O278" s="41" t="n">
        <f aca="false">IF(M278&gt;0,MIN(J278:L278),"-")</f>
        <v>11970</v>
      </c>
      <c r="P278" s="41" t="n">
        <f aca="false">IF(M278&gt;0,AVERAGE(J278:L278),"-")</f>
        <v>11970</v>
      </c>
      <c r="Q278" s="41" t="n">
        <f aca="false">IF(M278&gt;0,O278-G278,"-")</f>
        <v>840</v>
      </c>
      <c r="R278" s="42" t="n">
        <f aca="false">IF(M278&gt;0,IFERROR(Q278/O278,"-"),"-")</f>
        <v>0.0701754385964912</v>
      </c>
      <c r="S278" s="41" t="n">
        <f aca="false">IF(M278&gt;0,ROUND(MAX(G278*1.08,O278*0.97)/100,0)*100,ROUND(G278*1.12/100,0)*100)</f>
        <v>12000</v>
      </c>
      <c r="T278" s="42" t="n">
        <f aca="false">IFERROR((S278-G278)/S278,"-")</f>
        <v>0.0725</v>
      </c>
    </row>
    <row r="279" customFormat="false" ht="15" hidden="false" customHeight="false" outlineLevel="0" collapsed="false">
      <c r="A279" s="8" t="s">
        <v>2158</v>
      </c>
      <c r="B279" s="8" t="s">
        <v>2164</v>
      </c>
      <c r="C279" s="8" t="s">
        <v>2165</v>
      </c>
      <c r="D279" s="8" t="s">
        <v>40</v>
      </c>
      <c r="E279" s="8" t="n">
        <v>15000</v>
      </c>
      <c r="F279" s="38" t="n">
        <f aca="false">IFERROR(VALUE(SUBSTITUTE(SUBSTITUTE('Indosat INDOFLAZ'!E3,"Rp. ",""),".","")),'Indosat INDOFLAZ'!E3)</f>
        <v>15400</v>
      </c>
      <c r="G279" s="38" t="n">
        <f aca="false">IFERROR(VALUE(SUBSTITUTE(SUBSTITUTE('Indosat INDOFLAZ'!F3,"Rp. ",""),".","")),'Indosat INDOFLAZ'!F3)</f>
        <v>15200</v>
      </c>
      <c r="H279" s="38" t="n">
        <f aca="false">IFERROR(VALUE(SUBSTITUTE(SUBSTITUTE('Indosat INDOFLAZ'!G3,"Rp. ",""),".","")),'Indosat INDOFLAZ'!G3)</f>
        <v>15000</v>
      </c>
      <c r="I279" s="8" t="s">
        <v>2625</v>
      </c>
      <c r="J279" s="39"/>
      <c r="K279" s="39"/>
      <c r="L279" s="39"/>
      <c r="M279" s="8" t="n">
        <f aca="false">COUNT(J279:L279)</f>
        <v>0</v>
      </c>
      <c r="N279" s="40" t="str">
        <f aca="false">IF(M279&gt;0,"Ada","Tidak Ada")</f>
        <v>Tidak Ada</v>
      </c>
      <c r="O279" s="41" t="str">
        <f aca="false">IF(M279&gt;0,MIN(J279:L279),"-")</f>
        <v>-</v>
      </c>
      <c r="P279" s="41" t="str">
        <f aca="false">IF(M279&gt;0,AVERAGE(J279:L279),"-")</f>
        <v>-</v>
      </c>
      <c r="Q279" s="41" t="str">
        <f aca="false">IF(M279&gt;0,O279-G279,"-")</f>
        <v>-</v>
      </c>
      <c r="R279" s="42" t="str">
        <f aca="false">IF(M279&gt;0,IFERROR(Q279/O279,"-"),"-")</f>
        <v>-</v>
      </c>
      <c r="S279" s="41" t="n">
        <f aca="false">IF(M279&gt;0,ROUND(MAX(G279*1.08,O279*0.97)/100,0)*100,ROUND(G279*1.12/100,0)*100)</f>
        <v>17000</v>
      </c>
      <c r="T279" s="42" t="n">
        <f aca="false">IFERROR((S279-G279)/S279,"-")</f>
        <v>0.105882352941176</v>
      </c>
    </row>
    <row r="280" customFormat="false" ht="15" hidden="false" customHeight="false" outlineLevel="0" collapsed="false">
      <c r="A280" s="8" t="s">
        <v>2158</v>
      </c>
      <c r="B280" s="8" t="s">
        <v>2169</v>
      </c>
      <c r="C280" s="8" t="s">
        <v>2170</v>
      </c>
      <c r="D280" s="8" t="s">
        <v>40</v>
      </c>
      <c r="E280" s="8" t="n">
        <v>20000</v>
      </c>
      <c r="F280" s="38" t="n">
        <f aca="false">IFERROR(VALUE(SUBSTITUTE(SUBSTITUTE('Indosat INDOFLAZ'!E4,"Rp. ",""),".","")),'Indosat INDOFLAZ'!E4)</f>
        <v>20050</v>
      </c>
      <c r="G280" s="38" t="n">
        <f aca="false">IFERROR(VALUE(SUBSTITUTE(SUBSTITUTE('Indosat INDOFLAZ'!F4,"Rp. ",""),".","")),'Indosat INDOFLAZ'!F4)</f>
        <v>19850</v>
      </c>
      <c r="H280" s="38" t="n">
        <f aca="false">IFERROR(VALUE(SUBSTITUTE(SUBSTITUTE('Indosat INDOFLAZ'!G4,"Rp. ",""),".","")),'Indosat INDOFLAZ'!G4)</f>
        <v>19650</v>
      </c>
      <c r="I280" s="8" t="s">
        <v>2640</v>
      </c>
      <c r="J280" s="38" t="n">
        <f aca="false">'Indosat OURA STORE'!A10</f>
        <v>22501</v>
      </c>
      <c r="K280" s="39"/>
      <c r="L280" s="39"/>
      <c r="M280" s="8" t="n">
        <f aca="false">COUNT(J280:L280)</f>
        <v>1</v>
      </c>
      <c r="N280" s="40" t="str">
        <f aca="false">IF(M280&gt;0,"Ada","Tidak Ada")</f>
        <v>Ada</v>
      </c>
      <c r="O280" s="41" t="n">
        <f aca="false">IF(M280&gt;0,MIN(J280:L280),"-")</f>
        <v>22501</v>
      </c>
      <c r="P280" s="41" t="n">
        <f aca="false">IF(M280&gt;0,AVERAGE(J280:L280),"-")</f>
        <v>22501</v>
      </c>
      <c r="Q280" s="41" t="n">
        <f aca="false">IF(M280&gt;0,O280-G280,"-")</f>
        <v>2651</v>
      </c>
      <c r="R280" s="42" t="n">
        <f aca="false">IF(M280&gt;0,IFERROR(Q280/O280,"-"),"-")</f>
        <v>0.117816985911737</v>
      </c>
      <c r="S280" s="41" t="n">
        <f aca="false">IF(M280&gt;0,ROUND(MAX(G280*1.08,O280*0.97)/100,0)*100,ROUND(G280*1.12/100,0)*100)</f>
        <v>21800</v>
      </c>
      <c r="T280" s="42" t="n">
        <f aca="false">IFERROR((S280-G280)/S280,"-")</f>
        <v>0.0894495412844037</v>
      </c>
    </row>
    <row r="281" customFormat="false" ht="15" hidden="false" customHeight="false" outlineLevel="0" collapsed="false">
      <c r="A281" s="8" t="s">
        <v>2158</v>
      </c>
      <c r="B281" s="8" t="s">
        <v>2174</v>
      </c>
      <c r="C281" s="8" t="s">
        <v>2175</v>
      </c>
      <c r="D281" s="8" t="s">
        <v>40</v>
      </c>
      <c r="E281" s="8" t="n">
        <v>25000</v>
      </c>
      <c r="F281" s="38" t="n">
        <f aca="false">IFERROR(VALUE(SUBSTITUTE(SUBSTITUTE('Indosat INDOFLAZ'!E5,"Rp. ",""),".","")),'Indosat INDOFLAZ'!E5)</f>
        <v>25365</v>
      </c>
      <c r="G281" s="38" t="n">
        <f aca="false">IFERROR(VALUE(SUBSTITUTE(SUBSTITUTE('Indosat INDOFLAZ'!F5,"Rp. ",""),".","")),'Indosat INDOFLAZ'!F5)</f>
        <v>25165</v>
      </c>
      <c r="H281" s="38" t="n">
        <f aca="false">IFERROR(VALUE(SUBSTITUTE(SUBSTITUTE('Indosat INDOFLAZ'!G5,"Rp. ",""),".","")),'Indosat INDOFLAZ'!G5)</f>
        <v>24965</v>
      </c>
      <c r="I281" s="8" t="s">
        <v>2640</v>
      </c>
      <c r="J281" s="38" t="n">
        <f aca="false">'Indosat OURA STORE'!A12</f>
        <v>26643</v>
      </c>
      <c r="K281" s="39"/>
      <c r="L281" s="39"/>
      <c r="M281" s="8" t="n">
        <f aca="false">COUNT(J281:L281)</f>
        <v>1</v>
      </c>
      <c r="N281" s="40" t="str">
        <f aca="false">IF(M281&gt;0,"Ada","Tidak Ada")</f>
        <v>Ada</v>
      </c>
      <c r="O281" s="41" t="n">
        <f aca="false">IF(M281&gt;0,MIN(J281:L281),"-")</f>
        <v>26643</v>
      </c>
      <c r="P281" s="41" t="n">
        <f aca="false">IF(M281&gt;0,AVERAGE(J281:L281),"-")</f>
        <v>26643</v>
      </c>
      <c r="Q281" s="41" t="n">
        <f aca="false">IF(M281&gt;0,O281-G281,"-")</f>
        <v>1478</v>
      </c>
      <c r="R281" s="42" t="n">
        <f aca="false">IF(M281&gt;0,IFERROR(Q281/O281,"-"),"-")</f>
        <v>0.0554742333821266</v>
      </c>
      <c r="S281" s="41" t="n">
        <f aca="false">IF(M281&gt;0,ROUND(MAX(G281*1.08,O281*0.97)/100,0)*100,ROUND(G281*1.12/100,0)*100)</f>
        <v>27200</v>
      </c>
      <c r="T281" s="42" t="n">
        <f aca="false">IFERROR((S281-G281)/S281,"-")</f>
        <v>0.0748161764705882</v>
      </c>
    </row>
    <row r="282" customFormat="false" ht="15" hidden="false" customHeight="false" outlineLevel="0" collapsed="false">
      <c r="A282" s="8" t="s">
        <v>2158</v>
      </c>
      <c r="B282" s="8" t="s">
        <v>2179</v>
      </c>
      <c r="C282" s="8" t="s">
        <v>2180</v>
      </c>
      <c r="D282" s="8" t="s">
        <v>40</v>
      </c>
      <c r="E282" s="8" t="n">
        <v>30000</v>
      </c>
      <c r="F282" s="38" t="n">
        <f aca="false">IFERROR(VALUE(SUBSTITUTE(SUBSTITUTE('Indosat INDOFLAZ'!E6,"Rp. ",""),".","")),'Indosat INDOFLAZ'!E6)</f>
        <v>30165</v>
      </c>
      <c r="G282" s="38" t="n">
        <f aca="false">IFERROR(VALUE(SUBSTITUTE(SUBSTITUTE('Indosat INDOFLAZ'!F6,"Rp. ",""),".","")),'Indosat INDOFLAZ'!F6)</f>
        <v>29965</v>
      </c>
      <c r="H282" s="38" t="n">
        <f aca="false">IFERROR(VALUE(SUBSTITUTE(SUBSTITUTE('Indosat INDOFLAZ'!G6,"Rp. ",""),".","")),'Indosat INDOFLAZ'!G6)</f>
        <v>29765</v>
      </c>
      <c r="I282" s="8" t="s">
        <v>2640</v>
      </c>
      <c r="J282" s="38" t="n">
        <f aca="false">'Indosat OURA STORE'!A14</f>
        <v>32376</v>
      </c>
      <c r="K282" s="39"/>
      <c r="L282" s="39"/>
      <c r="M282" s="8" t="n">
        <f aca="false">COUNT(J282:L282)</f>
        <v>1</v>
      </c>
      <c r="N282" s="40" t="str">
        <f aca="false">IF(M282&gt;0,"Ada","Tidak Ada")</f>
        <v>Ada</v>
      </c>
      <c r="O282" s="41" t="n">
        <f aca="false">IF(M282&gt;0,MIN(J282:L282),"-")</f>
        <v>32376</v>
      </c>
      <c r="P282" s="41" t="n">
        <f aca="false">IF(M282&gt;0,AVERAGE(J282:L282),"-")</f>
        <v>32376</v>
      </c>
      <c r="Q282" s="41" t="n">
        <f aca="false">IF(M282&gt;0,O282-G282,"-")</f>
        <v>2411</v>
      </c>
      <c r="R282" s="42" t="n">
        <f aca="false">IF(M282&gt;0,IFERROR(Q282/O282,"-"),"-")</f>
        <v>0.0744687422782308</v>
      </c>
      <c r="S282" s="41" t="n">
        <f aca="false">IF(M282&gt;0,ROUND(MAX(G282*1.08,O282*0.97)/100,0)*100,ROUND(G282*1.12/100,0)*100)</f>
        <v>32400</v>
      </c>
      <c r="T282" s="42" t="n">
        <f aca="false">IFERROR((S282-G282)/S282,"-")</f>
        <v>0.0751543209876543</v>
      </c>
    </row>
    <row r="283" customFormat="false" ht="15" hidden="false" customHeight="false" outlineLevel="0" collapsed="false">
      <c r="A283" s="8" t="s">
        <v>2158</v>
      </c>
      <c r="B283" s="8" t="s">
        <v>2185</v>
      </c>
      <c r="C283" s="8" t="s">
        <v>2186</v>
      </c>
      <c r="D283" s="8" t="s">
        <v>40</v>
      </c>
      <c r="E283" s="8" t="n">
        <v>40000</v>
      </c>
      <c r="F283" s="38" t="n">
        <f aca="false">IFERROR(VALUE(SUBSTITUTE(SUBSTITUTE('Indosat INDOFLAZ'!E7,"Rp. ",""),".","")),'Indosat INDOFLAZ'!E7)</f>
        <v>40050</v>
      </c>
      <c r="G283" s="38" t="n">
        <f aca="false">IFERROR(VALUE(SUBSTITUTE(SUBSTITUTE('Indosat INDOFLAZ'!F7,"Rp. ",""),".","")),'Indosat INDOFLAZ'!F7)</f>
        <v>39850</v>
      </c>
      <c r="H283" s="38" t="n">
        <f aca="false">IFERROR(VALUE(SUBSTITUTE(SUBSTITUTE('Indosat INDOFLAZ'!G7,"Rp. ",""),".","")),'Indosat INDOFLAZ'!G7)</f>
        <v>39650</v>
      </c>
      <c r="I283" s="8" t="s">
        <v>2640</v>
      </c>
      <c r="J283" s="38" t="n">
        <f aca="false">'Indosat OURA STORE'!A16</f>
        <v>41595</v>
      </c>
      <c r="K283" s="39"/>
      <c r="L283" s="39"/>
      <c r="M283" s="8" t="n">
        <f aca="false">COUNT(J283:L283)</f>
        <v>1</v>
      </c>
      <c r="N283" s="40" t="str">
        <f aca="false">IF(M283&gt;0,"Ada","Tidak Ada")</f>
        <v>Ada</v>
      </c>
      <c r="O283" s="41" t="n">
        <f aca="false">IF(M283&gt;0,MIN(J283:L283),"-")</f>
        <v>41595</v>
      </c>
      <c r="P283" s="41" t="n">
        <f aca="false">IF(M283&gt;0,AVERAGE(J283:L283),"-")</f>
        <v>41595</v>
      </c>
      <c r="Q283" s="41" t="n">
        <f aca="false">IF(M283&gt;0,O283-G283,"-")</f>
        <v>1745</v>
      </c>
      <c r="R283" s="42" t="n">
        <f aca="false">IF(M283&gt;0,IFERROR(Q283/O283,"-"),"-")</f>
        <v>0.0419521577112634</v>
      </c>
      <c r="S283" s="41" t="n">
        <f aca="false">IF(M283&gt;0,ROUND(MAX(G283*1.08,O283*0.97)/100,0)*100,ROUND(G283*1.12/100,0)*100)</f>
        <v>43000</v>
      </c>
      <c r="T283" s="42" t="n">
        <f aca="false">IFERROR((S283-G283)/S283,"-")</f>
        <v>0.0732558139534884</v>
      </c>
    </row>
    <row r="284" customFormat="false" ht="15" hidden="false" customHeight="false" outlineLevel="0" collapsed="false">
      <c r="A284" s="8" t="s">
        <v>2158</v>
      </c>
      <c r="B284" s="8" t="s">
        <v>2191</v>
      </c>
      <c r="C284" s="8" t="s">
        <v>2192</v>
      </c>
      <c r="D284" s="8" t="s">
        <v>40</v>
      </c>
      <c r="E284" s="8" t="n">
        <v>50000</v>
      </c>
      <c r="F284" s="38" t="n">
        <f aca="false">IFERROR(VALUE(SUBSTITUTE(SUBSTITUTE('Indosat INDOFLAZ'!E8,"Rp. ",""),".","")),'Indosat INDOFLAZ'!E8)</f>
        <v>49625</v>
      </c>
      <c r="G284" s="38" t="n">
        <f aca="false">IFERROR(VALUE(SUBSTITUTE(SUBSTITUTE('Indosat INDOFLAZ'!F8,"Rp. ",""),".","")),'Indosat INDOFLAZ'!F8)</f>
        <v>49425</v>
      </c>
      <c r="H284" s="38" t="n">
        <f aca="false">IFERROR(VALUE(SUBSTITUTE(SUBSTITUTE('Indosat INDOFLAZ'!G8,"Rp. ",""),".","")),'Indosat INDOFLAZ'!G8)</f>
        <v>49225</v>
      </c>
      <c r="I284" s="8" t="s">
        <v>2640</v>
      </c>
      <c r="J284" s="38" t="n">
        <f aca="false">'Indosat OURA STORE'!A18</f>
        <v>51069</v>
      </c>
      <c r="K284" s="39"/>
      <c r="L284" s="39"/>
      <c r="M284" s="8" t="n">
        <f aca="false">COUNT(J284:L284)</f>
        <v>1</v>
      </c>
      <c r="N284" s="40" t="str">
        <f aca="false">IF(M284&gt;0,"Ada","Tidak Ada")</f>
        <v>Ada</v>
      </c>
      <c r="O284" s="41" t="n">
        <f aca="false">IF(M284&gt;0,MIN(J284:L284),"-")</f>
        <v>51069</v>
      </c>
      <c r="P284" s="41" t="n">
        <f aca="false">IF(M284&gt;0,AVERAGE(J284:L284),"-")</f>
        <v>51069</v>
      </c>
      <c r="Q284" s="41" t="n">
        <f aca="false">IF(M284&gt;0,O284-G284,"-")</f>
        <v>1644</v>
      </c>
      <c r="R284" s="42" t="n">
        <f aca="false">IF(M284&gt;0,IFERROR(Q284/O284,"-"),"-")</f>
        <v>0.0321917405862656</v>
      </c>
      <c r="S284" s="41" t="n">
        <f aca="false">IF(M284&gt;0,ROUND(MAX(G284*1.08,O284*0.97)/100,0)*100,ROUND(G284*1.12/100,0)*100)</f>
        <v>53400</v>
      </c>
      <c r="T284" s="42" t="n">
        <f aca="false">IFERROR((S284-G284)/S284,"-")</f>
        <v>0.074438202247191</v>
      </c>
    </row>
    <row r="285" customFormat="false" ht="15" hidden="false" customHeight="false" outlineLevel="0" collapsed="false">
      <c r="A285" s="8" t="s">
        <v>2158</v>
      </c>
      <c r="B285" s="8" t="s">
        <v>2197</v>
      </c>
      <c r="C285" s="8" t="s">
        <v>2198</v>
      </c>
      <c r="D285" s="8" t="s">
        <v>40</v>
      </c>
      <c r="E285" s="8" t="n">
        <v>60000</v>
      </c>
      <c r="F285" s="38" t="n">
        <f aca="false">IFERROR(VALUE(SUBSTITUTE(SUBSTITUTE('Indosat INDOFLAZ'!E9,"Rp. ",""),".","")),'Indosat INDOFLAZ'!E9)</f>
        <v>59500</v>
      </c>
      <c r="G285" s="38" t="n">
        <f aca="false">IFERROR(VALUE(SUBSTITUTE(SUBSTITUTE('Indosat INDOFLAZ'!F9,"Rp. ",""),".","")),'Indosat INDOFLAZ'!F9)</f>
        <v>59300</v>
      </c>
      <c r="H285" s="38" t="n">
        <f aca="false">IFERROR(VALUE(SUBSTITUTE(SUBSTITUTE('Indosat INDOFLAZ'!G9,"Rp. ",""),".","")),'Indosat INDOFLAZ'!G9)</f>
        <v>59100</v>
      </c>
      <c r="I285" s="8" t="s">
        <v>2640</v>
      </c>
      <c r="J285" s="38" t="n">
        <f aca="false">'Indosat OURA STORE'!A20</f>
        <v>61220</v>
      </c>
      <c r="K285" s="39"/>
      <c r="L285" s="39"/>
      <c r="M285" s="8" t="n">
        <f aca="false">COUNT(J285:L285)</f>
        <v>1</v>
      </c>
      <c r="N285" s="40" t="str">
        <f aca="false">IF(M285&gt;0,"Ada","Tidak Ada")</f>
        <v>Ada</v>
      </c>
      <c r="O285" s="41" t="n">
        <f aca="false">IF(M285&gt;0,MIN(J285:L285),"-")</f>
        <v>61220</v>
      </c>
      <c r="P285" s="41" t="n">
        <f aca="false">IF(M285&gt;0,AVERAGE(J285:L285),"-")</f>
        <v>61220</v>
      </c>
      <c r="Q285" s="41" t="n">
        <f aca="false">IF(M285&gt;0,O285-G285,"-")</f>
        <v>1920</v>
      </c>
      <c r="R285" s="42" t="n">
        <f aca="false">IF(M285&gt;0,IFERROR(Q285/O285,"-"),"-")</f>
        <v>0.0313622999019928</v>
      </c>
      <c r="S285" s="41" t="n">
        <f aca="false">IF(M285&gt;0,ROUND(MAX(G285*1.08,O285*0.97)/100,0)*100,ROUND(G285*1.12/100,0)*100)</f>
        <v>64000</v>
      </c>
      <c r="T285" s="42" t="n">
        <f aca="false">IFERROR((S285-G285)/S285,"-")</f>
        <v>0.0734375</v>
      </c>
    </row>
    <row r="286" customFormat="false" ht="15" hidden="false" customHeight="false" outlineLevel="0" collapsed="false">
      <c r="A286" s="8" t="s">
        <v>2158</v>
      </c>
      <c r="B286" s="8" t="s">
        <v>2202</v>
      </c>
      <c r="C286" s="8" t="s">
        <v>2203</v>
      </c>
      <c r="D286" s="8" t="s">
        <v>40</v>
      </c>
      <c r="E286" s="8" t="n">
        <v>70000</v>
      </c>
      <c r="F286" s="38" t="n">
        <f aca="false">IFERROR(VALUE(SUBSTITUTE(SUBSTITUTE('Indosat INDOFLAZ'!E10,"Rp. ",""),".","")),'Indosat INDOFLAZ'!E10)</f>
        <v>68490</v>
      </c>
      <c r="G286" s="38" t="n">
        <f aca="false">IFERROR(VALUE(SUBSTITUTE(SUBSTITUTE('Indosat INDOFLAZ'!F10,"Rp. ",""),".","")),'Indosat INDOFLAZ'!F10)</f>
        <v>68290</v>
      </c>
      <c r="H286" s="38" t="n">
        <f aca="false">IFERROR(VALUE(SUBSTITUTE(SUBSTITUTE('Indosat INDOFLAZ'!G10,"Rp. ",""),".","")),'Indosat INDOFLAZ'!G10)</f>
        <v>68090</v>
      </c>
      <c r="I286" s="8" t="s">
        <v>2640</v>
      </c>
      <c r="J286" s="38" t="n">
        <f aca="false">'Indosat OURA STORE'!A22</f>
        <v>70868</v>
      </c>
      <c r="K286" s="39"/>
      <c r="L286" s="39"/>
      <c r="M286" s="8" t="n">
        <f aca="false">COUNT(J286:L286)</f>
        <v>1</v>
      </c>
      <c r="N286" s="40" t="str">
        <f aca="false">IF(M286&gt;0,"Ada","Tidak Ada")</f>
        <v>Ada</v>
      </c>
      <c r="O286" s="41" t="n">
        <f aca="false">IF(M286&gt;0,MIN(J286:L286),"-")</f>
        <v>70868</v>
      </c>
      <c r="P286" s="41" t="n">
        <f aca="false">IF(M286&gt;0,AVERAGE(J286:L286),"-")</f>
        <v>70868</v>
      </c>
      <c r="Q286" s="41" t="n">
        <f aca="false">IF(M286&gt;0,O286-G286,"-")</f>
        <v>2578</v>
      </c>
      <c r="R286" s="42" t="n">
        <f aca="false">IF(M286&gt;0,IFERROR(Q286/O286,"-"),"-")</f>
        <v>0.0363774905458035</v>
      </c>
      <c r="S286" s="41" t="n">
        <f aca="false">IF(M286&gt;0,ROUND(MAX(G286*1.08,O286*0.97)/100,0)*100,ROUND(G286*1.12/100,0)*100)</f>
        <v>73800</v>
      </c>
      <c r="T286" s="42" t="n">
        <f aca="false">IFERROR((S286-G286)/S286,"-")</f>
        <v>0.0746612466124661</v>
      </c>
    </row>
    <row r="287" customFormat="false" ht="15" hidden="false" customHeight="false" outlineLevel="0" collapsed="false">
      <c r="A287" s="8" t="s">
        <v>2158</v>
      </c>
      <c r="B287" s="8" t="s">
        <v>2208</v>
      </c>
      <c r="C287" s="8" t="s">
        <v>2209</v>
      </c>
      <c r="D287" s="8" t="s">
        <v>40</v>
      </c>
      <c r="E287" s="8" t="n">
        <v>80000</v>
      </c>
      <c r="F287" s="38" t="n">
        <f aca="false">IFERROR(VALUE(SUBSTITUTE(SUBSTITUTE('Indosat INDOFLAZ'!E11,"Rp. ",""),".","")),'Indosat INDOFLAZ'!E11)</f>
        <v>78825</v>
      </c>
      <c r="G287" s="38" t="n">
        <f aca="false">IFERROR(VALUE(SUBSTITUTE(SUBSTITUTE('Indosat INDOFLAZ'!F11,"Rp. ",""),".","")),'Indosat INDOFLAZ'!F11)</f>
        <v>78625</v>
      </c>
      <c r="H287" s="38" t="n">
        <f aca="false">IFERROR(VALUE(SUBSTITUTE(SUBSTITUTE('Indosat INDOFLAZ'!G11,"Rp. ",""),".","")),'Indosat INDOFLAZ'!G11)</f>
        <v>78425</v>
      </c>
      <c r="I287" s="8" t="s">
        <v>2640</v>
      </c>
      <c r="J287" s="38" t="n">
        <f aca="false">'Indosat OURA STORE'!A24</f>
        <v>80415</v>
      </c>
      <c r="K287" s="39"/>
      <c r="L287" s="39"/>
      <c r="M287" s="8" t="n">
        <f aca="false">COUNT(J287:L287)</f>
        <v>1</v>
      </c>
      <c r="N287" s="40" t="str">
        <f aca="false">IF(M287&gt;0,"Ada","Tidak Ada")</f>
        <v>Ada</v>
      </c>
      <c r="O287" s="41" t="n">
        <f aca="false">IF(M287&gt;0,MIN(J287:L287),"-")</f>
        <v>80415</v>
      </c>
      <c r="P287" s="41" t="n">
        <f aca="false">IF(M287&gt;0,AVERAGE(J287:L287),"-")</f>
        <v>80415</v>
      </c>
      <c r="Q287" s="41" t="n">
        <f aca="false">IF(M287&gt;0,O287-G287,"-")</f>
        <v>1790</v>
      </c>
      <c r="R287" s="42" t="n">
        <f aca="false">IF(M287&gt;0,IFERROR(Q287/O287,"-"),"-")</f>
        <v>0.0222595286948952</v>
      </c>
      <c r="S287" s="41" t="n">
        <f aca="false">IF(M287&gt;0,ROUND(MAX(G287*1.08,O287*0.97)/100,0)*100,ROUND(G287*1.12/100,0)*100)</f>
        <v>84900</v>
      </c>
      <c r="T287" s="42" t="n">
        <f aca="false">IFERROR((S287-G287)/S287,"-")</f>
        <v>0.0739104829210836</v>
      </c>
    </row>
    <row r="288" customFormat="false" ht="15" hidden="false" customHeight="false" outlineLevel="0" collapsed="false">
      <c r="A288" s="8" t="s">
        <v>2158</v>
      </c>
      <c r="B288" s="8" t="s">
        <v>2214</v>
      </c>
      <c r="C288" s="8" t="s">
        <v>2215</v>
      </c>
      <c r="D288" s="8" t="s">
        <v>40</v>
      </c>
      <c r="E288" s="8" t="n">
        <v>90000</v>
      </c>
      <c r="F288" s="38" t="n">
        <f aca="false">IFERROR(VALUE(SUBSTITUTE(SUBSTITUTE('Indosat INDOFLAZ'!E12,"Rp. ",""),".","")),'Indosat INDOFLAZ'!E12)</f>
        <v>87445</v>
      </c>
      <c r="G288" s="38" t="n">
        <f aca="false">IFERROR(VALUE(SUBSTITUTE(SUBSTITUTE('Indosat INDOFLAZ'!F12,"Rp. ",""),".","")),'Indosat INDOFLAZ'!F12)</f>
        <v>87245</v>
      </c>
      <c r="H288" s="38" t="n">
        <f aca="false">IFERROR(VALUE(SUBSTITUTE(SUBSTITUTE('Indosat INDOFLAZ'!G12,"Rp. ",""),".","")),'Indosat INDOFLAZ'!G12)</f>
        <v>87045</v>
      </c>
      <c r="I288" s="8" t="s">
        <v>2640</v>
      </c>
      <c r="J288" s="38" t="n">
        <f aca="false">'Indosat OURA STORE'!A26</f>
        <v>91234</v>
      </c>
      <c r="K288" s="39"/>
      <c r="L288" s="39"/>
      <c r="M288" s="8" t="n">
        <f aca="false">COUNT(J288:L288)</f>
        <v>1</v>
      </c>
      <c r="N288" s="40" t="str">
        <f aca="false">IF(M288&gt;0,"Ada","Tidak Ada")</f>
        <v>Ada</v>
      </c>
      <c r="O288" s="41" t="n">
        <f aca="false">IF(M288&gt;0,MIN(J288:L288),"-")</f>
        <v>91234</v>
      </c>
      <c r="P288" s="41" t="n">
        <f aca="false">IF(M288&gt;0,AVERAGE(J288:L288),"-")</f>
        <v>91234</v>
      </c>
      <c r="Q288" s="41" t="n">
        <f aca="false">IF(M288&gt;0,O288-G288,"-")</f>
        <v>3989</v>
      </c>
      <c r="R288" s="42" t="n">
        <f aca="false">IF(M288&gt;0,IFERROR(Q288/O288,"-"),"-")</f>
        <v>0.0437227349453055</v>
      </c>
      <c r="S288" s="41" t="n">
        <f aca="false">IF(M288&gt;0,ROUND(MAX(G288*1.08,O288*0.97)/100,0)*100,ROUND(G288*1.12/100,0)*100)</f>
        <v>94200</v>
      </c>
      <c r="T288" s="42" t="n">
        <f aca="false">IFERROR((S288-G288)/S288,"-")</f>
        <v>0.0738322717622081</v>
      </c>
    </row>
    <row r="289" customFormat="false" ht="15" hidden="false" customHeight="false" outlineLevel="0" collapsed="false">
      <c r="A289" s="8" t="s">
        <v>2158</v>
      </c>
      <c r="B289" s="8" t="s">
        <v>2220</v>
      </c>
      <c r="C289" s="8" t="s">
        <v>2221</v>
      </c>
      <c r="D289" s="8" t="s">
        <v>40</v>
      </c>
      <c r="E289" s="8" t="n">
        <v>100000</v>
      </c>
      <c r="F289" s="38" t="n">
        <f aca="false">IFERROR(VALUE(SUBSTITUTE(SUBSTITUTE('Indosat INDOFLAZ'!E13,"Rp. ",""),".","")),'Indosat INDOFLAZ'!E13)</f>
        <v>97775</v>
      </c>
      <c r="G289" s="38" t="n">
        <f aca="false">IFERROR(VALUE(SUBSTITUTE(SUBSTITUTE('Indosat INDOFLAZ'!F13,"Rp. ",""),".","")),'Indosat INDOFLAZ'!F13)</f>
        <v>97575</v>
      </c>
      <c r="H289" s="38" t="n">
        <f aca="false">IFERROR(VALUE(SUBSTITUTE(SUBSTITUTE('Indosat INDOFLAZ'!G13,"Rp. ",""),".","")),'Indosat INDOFLAZ'!G13)</f>
        <v>97375</v>
      </c>
      <c r="I289" s="8" t="s">
        <v>2640</v>
      </c>
      <c r="J289" s="38" t="n">
        <f aca="false">'Indosat OURA STORE'!A28</f>
        <v>98033</v>
      </c>
      <c r="K289" s="39"/>
      <c r="L289" s="39"/>
      <c r="M289" s="8" t="n">
        <f aca="false">COUNT(J289:L289)</f>
        <v>1</v>
      </c>
      <c r="N289" s="40" t="str">
        <f aca="false">IF(M289&gt;0,"Ada","Tidak Ada")</f>
        <v>Ada</v>
      </c>
      <c r="O289" s="41" t="n">
        <f aca="false">IF(M289&gt;0,MIN(J289:L289),"-")</f>
        <v>98033</v>
      </c>
      <c r="P289" s="41" t="n">
        <f aca="false">IF(M289&gt;0,AVERAGE(J289:L289),"-")</f>
        <v>98033</v>
      </c>
      <c r="Q289" s="41" t="n">
        <f aca="false">IF(M289&gt;0,O289-G289,"-")</f>
        <v>458</v>
      </c>
      <c r="R289" s="42" t="n">
        <f aca="false">IF(M289&gt;0,IFERROR(Q289/O289,"-"),"-")</f>
        <v>0.00467189619821897</v>
      </c>
      <c r="S289" s="41" t="n">
        <f aca="false">IF(M289&gt;0,ROUND(MAX(G289*1.08,O289*0.97)/100,0)*100,ROUND(G289*1.12/100,0)*100)</f>
        <v>105400</v>
      </c>
      <c r="T289" s="42" t="n">
        <f aca="false">IFERROR((S289-G289)/S289,"-")</f>
        <v>0.0742409867172676</v>
      </c>
    </row>
    <row r="290" customFormat="false" ht="15" hidden="false" customHeight="false" outlineLevel="0" collapsed="false">
      <c r="A290" s="8" t="s">
        <v>2158</v>
      </c>
      <c r="B290" s="8" t="s">
        <v>2226</v>
      </c>
      <c r="C290" s="8" t="s">
        <v>2227</v>
      </c>
      <c r="D290" s="8" t="s">
        <v>40</v>
      </c>
      <c r="E290" s="8" t="n">
        <v>125000</v>
      </c>
      <c r="F290" s="38" t="n">
        <f aca="false">IFERROR(VALUE(SUBSTITUTE(SUBSTITUTE('Indosat INDOFLAZ'!E14,"Rp. ",""),".","")),'Indosat INDOFLAZ'!E14)</f>
        <v>123125</v>
      </c>
      <c r="G290" s="38" t="n">
        <f aca="false">IFERROR(VALUE(SUBSTITUTE(SUBSTITUTE('Indosat INDOFLAZ'!F14,"Rp. ",""),".","")),'Indosat INDOFLAZ'!F14)</f>
        <v>122925</v>
      </c>
      <c r="H290" s="38" t="n">
        <f aca="false">IFERROR(VALUE(SUBSTITUTE(SUBSTITUTE('Indosat INDOFLAZ'!G14,"Rp. ",""),".","")),'Indosat INDOFLAZ'!G14)</f>
        <v>122725</v>
      </c>
      <c r="I290" s="8" t="s">
        <v>2625</v>
      </c>
      <c r="J290" s="39"/>
      <c r="K290" s="39"/>
      <c r="L290" s="39"/>
      <c r="M290" s="8" t="n">
        <f aca="false">COUNT(J290:L290)</f>
        <v>0</v>
      </c>
      <c r="N290" s="40" t="str">
        <f aca="false">IF(M290&gt;0,"Ada","Tidak Ada")</f>
        <v>Tidak Ada</v>
      </c>
      <c r="O290" s="41" t="str">
        <f aca="false">IF(M290&gt;0,MIN(J290:L290),"-")</f>
        <v>-</v>
      </c>
      <c r="P290" s="41" t="str">
        <f aca="false">IF(M290&gt;0,AVERAGE(J290:L290),"-")</f>
        <v>-</v>
      </c>
      <c r="Q290" s="41" t="str">
        <f aca="false">IF(M290&gt;0,O290-G290,"-")</f>
        <v>-</v>
      </c>
      <c r="R290" s="42" t="str">
        <f aca="false">IF(M290&gt;0,IFERROR(Q290/O290,"-"),"-")</f>
        <v>-</v>
      </c>
      <c r="S290" s="41" t="n">
        <f aca="false">IF(M290&gt;0,ROUND(MAX(G290*1.08,O290*0.97)/100,0)*100,ROUND(G290*1.12/100,0)*100)</f>
        <v>137700</v>
      </c>
      <c r="T290" s="42" t="n">
        <f aca="false">IFERROR((S290-G290)/S290,"-")</f>
        <v>0.107298474945534</v>
      </c>
    </row>
    <row r="291" customFormat="false" ht="15" hidden="false" customHeight="false" outlineLevel="0" collapsed="false">
      <c r="A291" s="8" t="s">
        <v>2158</v>
      </c>
      <c r="B291" s="8" t="s">
        <v>2232</v>
      </c>
      <c r="C291" s="8" t="s">
        <v>2233</v>
      </c>
      <c r="D291" s="8" t="s">
        <v>40</v>
      </c>
      <c r="E291" s="8" t="n">
        <v>150000</v>
      </c>
      <c r="F291" s="38" t="n">
        <f aca="false">IFERROR(VALUE(SUBSTITUTE(SUBSTITUTE('Indosat INDOFLAZ'!E15,"Rp. ",""),".","")),'Indosat INDOFLAZ'!E15)</f>
        <v>144900</v>
      </c>
      <c r="G291" s="38" t="n">
        <f aca="false">IFERROR(VALUE(SUBSTITUTE(SUBSTITUTE('Indosat INDOFLAZ'!F15,"Rp. ",""),".","")),'Indosat INDOFLAZ'!F15)</f>
        <v>144700</v>
      </c>
      <c r="H291" s="38" t="n">
        <f aca="false">IFERROR(VALUE(SUBSTITUTE(SUBSTITUTE('Indosat INDOFLAZ'!G15,"Rp. ",""),".","")),'Indosat INDOFLAZ'!G15)</f>
        <v>144500</v>
      </c>
      <c r="I291" s="8" t="s">
        <v>2640</v>
      </c>
      <c r="J291" s="38" t="n">
        <f aca="false">'Indosat OURA STORE'!A30</f>
        <v>150589</v>
      </c>
      <c r="K291" s="39"/>
      <c r="L291" s="39"/>
      <c r="M291" s="8" t="n">
        <f aca="false">COUNT(J291:L291)</f>
        <v>1</v>
      </c>
      <c r="N291" s="40" t="str">
        <f aca="false">IF(M291&gt;0,"Ada","Tidak Ada")</f>
        <v>Ada</v>
      </c>
      <c r="O291" s="41" t="n">
        <f aca="false">IF(M291&gt;0,MIN(J291:L291),"-")</f>
        <v>150589</v>
      </c>
      <c r="P291" s="41" t="n">
        <f aca="false">IF(M291&gt;0,AVERAGE(J291:L291),"-")</f>
        <v>150589</v>
      </c>
      <c r="Q291" s="41" t="n">
        <f aca="false">IF(M291&gt;0,O291-G291,"-")</f>
        <v>5889</v>
      </c>
      <c r="R291" s="42" t="n">
        <f aca="false">IF(M291&gt;0,IFERROR(Q291/O291,"-"),"-")</f>
        <v>0.039106442037599</v>
      </c>
      <c r="S291" s="41" t="n">
        <f aca="false">IF(M291&gt;0,ROUND(MAX(G291*1.08,O291*0.97)/100,0)*100,ROUND(G291*1.12/100,0)*100)</f>
        <v>156300</v>
      </c>
      <c r="T291" s="42" t="n">
        <f aca="false">IFERROR((S291-G291)/S291,"-")</f>
        <v>0.0742162507997441</v>
      </c>
    </row>
    <row r="292" customFormat="false" ht="15" hidden="false" customHeight="false" outlineLevel="0" collapsed="false">
      <c r="A292" s="8" t="s">
        <v>2158</v>
      </c>
      <c r="B292" s="8" t="s">
        <v>2238</v>
      </c>
      <c r="C292" s="8" t="s">
        <v>2239</v>
      </c>
      <c r="D292" s="8" t="s">
        <v>40</v>
      </c>
      <c r="E292" s="8" t="n">
        <v>175000</v>
      </c>
      <c r="F292" s="38" t="n">
        <f aca="false">IFERROR(VALUE(SUBSTITUTE(SUBSTITUTE('Indosat INDOFLAZ'!E16,"Rp. ",""),".","")),'Indosat INDOFLAZ'!E16)</f>
        <v>167050</v>
      </c>
      <c r="G292" s="38" t="n">
        <f aca="false">IFERROR(VALUE(SUBSTITUTE(SUBSTITUTE('Indosat INDOFLAZ'!F16,"Rp. ",""),".","")),'Indosat INDOFLAZ'!F16)</f>
        <v>166850</v>
      </c>
      <c r="H292" s="38" t="n">
        <f aca="false">IFERROR(VALUE(SUBSTITUTE(SUBSTITUTE('Indosat INDOFLAZ'!G16,"Rp. ",""),".","")),'Indosat INDOFLAZ'!G16)</f>
        <v>166650</v>
      </c>
      <c r="I292" s="8" t="s">
        <v>2625</v>
      </c>
      <c r="J292" s="39"/>
      <c r="K292" s="39"/>
      <c r="L292" s="39"/>
      <c r="M292" s="8" t="n">
        <f aca="false">COUNT(J292:L292)</f>
        <v>0</v>
      </c>
      <c r="N292" s="40" t="str">
        <f aca="false">IF(M292&gt;0,"Ada","Tidak Ada")</f>
        <v>Tidak Ada</v>
      </c>
      <c r="O292" s="41" t="str">
        <f aca="false">IF(M292&gt;0,MIN(J292:L292),"-")</f>
        <v>-</v>
      </c>
      <c r="P292" s="41" t="str">
        <f aca="false">IF(M292&gt;0,AVERAGE(J292:L292),"-")</f>
        <v>-</v>
      </c>
      <c r="Q292" s="41" t="str">
        <f aca="false">IF(M292&gt;0,O292-G292,"-")</f>
        <v>-</v>
      </c>
      <c r="R292" s="42" t="str">
        <f aca="false">IF(M292&gt;0,IFERROR(Q292/O292,"-"),"-")</f>
        <v>-</v>
      </c>
      <c r="S292" s="41" t="n">
        <f aca="false">IF(M292&gt;0,ROUND(MAX(G292*1.08,O292*0.97)/100,0)*100,ROUND(G292*1.12/100,0)*100)</f>
        <v>186900</v>
      </c>
      <c r="T292" s="42" t="n">
        <f aca="false">IFERROR((S292-G292)/S292,"-")</f>
        <v>0.107276618512574</v>
      </c>
    </row>
    <row r="293" customFormat="false" ht="15" hidden="false" customHeight="false" outlineLevel="0" collapsed="false">
      <c r="A293" s="8" t="s">
        <v>2158</v>
      </c>
      <c r="B293" s="8" t="s">
        <v>2244</v>
      </c>
      <c r="C293" s="8" t="s">
        <v>2245</v>
      </c>
      <c r="D293" s="8" t="s">
        <v>40</v>
      </c>
      <c r="E293" s="8" t="n">
        <v>200000</v>
      </c>
      <c r="F293" s="38" t="n">
        <f aca="false">IFERROR(VALUE(SUBSTITUTE(SUBSTITUTE('Indosat INDOFLAZ'!E17,"Rp. ",""),".","")),'Indosat INDOFLAZ'!E17)</f>
        <v>187475</v>
      </c>
      <c r="G293" s="38" t="n">
        <f aca="false">IFERROR(VALUE(SUBSTITUTE(SUBSTITUTE('Indosat INDOFLAZ'!F17,"Rp. ",""),".","")),'Indosat INDOFLAZ'!F17)</f>
        <v>187275</v>
      </c>
      <c r="H293" s="38" t="n">
        <f aca="false">IFERROR(VALUE(SUBSTITUTE(SUBSTITUTE('Indosat INDOFLAZ'!G17,"Rp. ",""),".","")),'Indosat INDOFLAZ'!G17)</f>
        <v>187075</v>
      </c>
      <c r="I293" s="8" t="s">
        <v>2640</v>
      </c>
      <c r="J293" s="38" t="n">
        <f aca="false">'Indosat OURA STORE'!A32</f>
        <v>198553</v>
      </c>
      <c r="K293" s="39"/>
      <c r="L293" s="39"/>
      <c r="M293" s="8" t="n">
        <f aca="false">COUNT(J293:L293)</f>
        <v>1</v>
      </c>
      <c r="N293" s="40" t="str">
        <f aca="false">IF(M293&gt;0,"Ada","Tidak Ada")</f>
        <v>Ada</v>
      </c>
      <c r="O293" s="41" t="n">
        <f aca="false">IF(M293&gt;0,MIN(J293:L293),"-")</f>
        <v>198553</v>
      </c>
      <c r="P293" s="41" t="n">
        <f aca="false">IF(M293&gt;0,AVERAGE(J293:L293),"-")</f>
        <v>198553</v>
      </c>
      <c r="Q293" s="41" t="n">
        <f aca="false">IF(M293&gt;0,O293-G293,"-")</f>
        <v>11278</v>
      </c>
      <c r="R293" s="42" t="n">
        <f aca="false">IF(M293&gt;0,IFERROR(Q293/O293,"-"),"-")</f>
        <v>0.0568009549087649</v>
      </c>
      <c r="S293" s="41" t="n">
        <f aca="false">IF(M293&gt;0,ROUND(MAX(G293*1.08,O293*0.97)/100,0)*100,ROUND(G293*1.12/100,0)*100)</f>
        <v>202300</v>
      </c>
      <c r="T293" s="42" t="n">
        <f aca="false">IFERROR((S293-G293)/S293,"-")</f>
        <v>0.0742708848245181</v>
      </c>
    </row>
    <row r="294" customFormat="false" ht="15" hidden="false" customHeight="false" outlineLevel="0" collapsed="false">
      <c r="A294" s="8" t="s">
        <v>2158</v>
      </c>
      <c r="B294" s="8" t="s">
        <v>2250</v>
      </c>
      <c r="C294" s="8" t="s">
        <v>2251</v>
      </c>
      <c r="D294" s="8" t="s">
        <v>40</v>
      </c>
      <c r="E294" s="8" t="n">
        <v>250000</v>
      </c>
      <c r="F294" s="38" t="n">
        <f aca="false">IFERROR(VALUE(SUBSTITUTE(SUBSTITUTE('Indosat INDOFLAZ'!E18,"Rp. ",""),".","")),'Indosat INDOFLAZ'!E18)</f>
        <v>234200</v>
      </c>
      <c r="G294" s="38" t="n">
        <f aca="false">IFERROR(VALUE(SUBSTITUTE(SUBSTITUTE('Indosat INDOFLAZ'!F18,"Rp. ",""),".","")),'Indosat INDOFLAZ'!F18)</f>
        <v>234000</v>
      </c>
      <c r="H294" s="38" t="n">
        <f aca="false">IFERROR(VALUE(SUBSTITUTE(SUBSTITUTE('Indosat INDOFLAZ'!G18,"Rp. ",""),".","")),'Indosat INDOFLAZ'!G18)</f>
        <v>233800</v>
      </c>
      <c r="I294" s="8" t="s">
        <v>2640</v>
      </c>
      <c r="J294" s="38" t="n">
        <f aca="false">'Indosat OURA STORE'!A34</f>
        <v>250903</v>
      </c>
      <c r="K294" s="39"/>
      <c r="L294" s="39"/>
      <c r="M294" s="8" t="n">
        <f aca="false">COUNT(J294:L294)</f>
        <v>1</v>
      </c>
      <c r="N294" s="40" t="str">
        <f aca="false">IF(M294&gt;0,"Ada","Tidak Ada")</f>
        <v>Ada</v>
      </c>
      <c r="O294" s="41" t="n">
        <f aca="false">IF(M294&gt;0,MIN(J294:L294),"-")</f>
        <v>250903</v>
      </c>
      <c r="P294" s="41" t="n">
        <f aca="false">IF(M294&gt;0,AVERAGE(J294:L294),"-")</f>
        <v>250903</v>
      </c>
      <c r="Q294" s="41" t="n">
        <f aca="false">IF(M294&gt;0,O294-G294,"-")</f>
        <v>16903</v>
      </c>
      <c r="R294" s="42" t="n">
        <f aca="false">IF(M294&gt;0,IFERROR(Q294/O294,"-"),"-")</f>
        <v>0.0673686643842441</v>
      </c>
      <c r="S294" s="41" t="n">
        <f aca="false">IF(M294&gt;0,ROUND(MAX(G294*1.08,O294*0.97)/100,0)*100,ROUND(G294*1.12/100,0)*100)</f>
        <v>252700</v>
      </c>
      <c r="T294" s="42" t="n">
        <f aca="false">IFERROR((S294-G294)/S294,"-")</f>
        <v>0.074000791452315</v>
      </c>
    </row>
    <row r="295" customFormat="false" ht="15" hidden="false" customHeight="false" outlineLevel="0" collapsed="false">
      <c r="A295" s="8" t="s">
        <v>2158</v>
      </c>
      <c r="B295" s="8" t="s">
        <v>2256</v>
      </c>
      <c r="C295" s="8" t="s">
        <v>2257</v>
      </c>
      <c r="D295" s="8" t="s">
        <v>40</v>
      </c>
      <c r="E295" s="8" t="n">
        <v>500000</v>
      </c>
      <c r="F295" s="38" t="n">
        <f aca="false">IFERROR(VALUE(SUBSTITUTE(SUBSTITUTE('Indosat INDOFLAZ'!E19,"Rp. ",""),".","")),'Indosat INDOFLAZ'!E19)</f>
        <v>464000</v>
      </c>
      <c r="G295" s="38" t="n">
        <f aca="false">IFERROR(VALUE(SUBSTITUTE(SUBSTITUTE('Indosat INDOFLAZ'!F19,"Rp. ",""),".","")),'Indosat INDOFLAZ'!F19)</f>
        <v>463800</v>
      </c>
      <c r="H295" s="38" t="n">
        <f aca="false">IFERROR(VALUE(SUBSTITUTE(SUBSTITUTE('Indosat INDOFLAZ'!G19,"Rp. ",""),".","")),'Indosat INDOFLAZ'!G19)</f>
        <v>463600</v>
      </c>
      <c r="I295" s="8" t="s">
        <v>2640</v>
      </c>
      <c r="J295" s="38" t="n">
        <f aca="false">'Indosat OURA STORE'!A36</f>
        <v>498748</v>
      </c>
      <c r="K295" s="39"/>
      <c r="L295" s="39"/>
      <c r="M295" s="8" t="n">
        <f aca="false">COUNT(J295:L295)</f>
        <v>1</v>
      </c>
      <c r="N295" s="40" t="str">
        <f aca="false">IF(M295&gt;0,"Ada","Tidak Ada")</f>
        <v>Ada</v>
      </c>
      <c r="O295" s="41" t="n">
        <f aca="false">IF(M295&gt;0,MIN(J295:L295),"-")</f>
        <v>498748</v>
      </c>
      <c r="P295" s="41" t="n">
        <f aca="false">IF(M295&gt;0,AVERAGE(J295:L295),"-")</f>
        <v>498748</v>
      </c>
      <c r="Q295" s="41" t="n">
        <f aca="false">IF(M295&gt;0,O295-G295,"-")</f>
        <v>34948</v>
      </c>
      <c r="R295" s="42" t="n">
        <f aca="false">IF(M295&gt;0,IFERROR(Q295/O295,"-"),"-")</f>
        <v>0.0700714589331687</v>
      </c>
      <c r="S295" s="41" t="n">
        <f aca="false">IF(M295&gt;0,ROUND(MAX(G295*1.08,O295*0.97)/100,0)*100,ROUND(G295*1.12/100,0)*100)</f>
        <v>500900</v>
      </c>
      <c r="T295" s="42" t="n">
        <f aca="false">IFERROR((S295-G295)/S295,"-")</f>
        <v>0.0740666799760431</v>
      </c>
    </row>
    <row r="296" customFormat="false" ht="15" hidden="false" customHeight="false" outlineLevel="0" collapsed="false">
      <c r="A296" s="8" t="s">
        <v>2158</v>
      </c>
      <c r="B296" s="8" t="s">
        <v>2262</v>
      </c>
      <c r="C296" s="8" t="s">
        <v>2263</v>
      </c>
      <c r="D296" s="8" t="s">
        <v>40</v>
      </c>
      <c r="E296" s="8" t="n">
        <v>1000000</v>
      </c>
      <c r="F296" s="38" t="n">
        <f aca="false">IFERROR(VALUE(SUBSTITUTE(SUBSTITUTE('Indosat INDOFLAZ'!E20,"Rp. ",""),".","")),'Indosat INDOFLAZ'!E20)</f>
        <v>928000</v>
      </c>
      <c r="G296" s="38" t="n">
        <f aca="false">IFERROR(VALUE(SUBSTITUTE(SUBSTITUTE('Indosat INDOFLAZ'!F20,"Rp. ",""),".","")),'Indosat INDOFLAZ'!F20)</f>
        <v>927800</v>
      </c>
      <c r="H296" s="38" t="n">
        <f aca="false">IFERROR(VALUE(SUBSTITUTE(SUBSTITUTE('Indosat INDOFLAZ'!G20,"Rp. ",""),".","")),'Indosat INDOFLAZ'!G20)</f>
        <v>927600</v>
      </c>
      <c r="I296" s="8" t="s">
        <v>2640</v>
      </c>
      <c r="J296" s="38" t="n">
        <f aca="false">'Indosat OURA STORE'!A38</f>
        <v>997000</v>
      </c>
      <c r="K296" s="39"/>
      <c r="L296" s="39"/>
      <c r="M296" s="8" t="n">
        <f aca="false">COUNT(J296:L296)</f>
        <v>1</v>
      </c>
      <c r="N296" s="40" t="str">
        <f aca="false">IF(M296&gt;0,"Ada","Tidak Ada")</f>
        <v>Ada</v>
      </c>
      <c r="O296" s="41" t="n">
        <f aca="false">IF(M296&gt;0,MIN(J296:L296),"-")</f>
        <v>997000</v>
      </c>
      <c r="P296" s="41" t="n">
        <f aca="false">IF(M296&gt;0,AVERAGE(J296:L296),"-")</f>
        <v>997000</v>
      </c>
      <c r="Q296" s="41" t="n">
        <f aca="false">IF(M296&gt;0,O296-G296,"-")</f>
        <v>69200</v>
      </c>
      <c r="R296" s="42" t="n">
        <f aca="false">IF(M296&gt;0,IFERROR(Q296/O296,"-"),"-")</f>
        <v>0.0694082246740221</v>
      </c>
      <c r="S296" s="41" t="n">
        <f aca="false">IF(M296&gt;0,ROUND(MAX(G296*1.08,O296*0.97)/100,0)*100,ROUND(G296*1.12/100,0)*100)</f>
        <v>1002000</v>
      </c>
      <c r="T296" s="42" t="n">
        <f aca="false">IFERROR((S296-G296)/S296,"-")</f>
        <v>0.0740518962075848</v>
      </c>
    </row>
    <row r="297" customFormat="false" ht="15" hidden="false" customHeight="false" outlineLevel="0" collapsed="false">
      <c r="A297" s="8" t="s">
        <v>2271</v>
      </c>
      <c r="B297" s="8" t="s">
        <v>2270</v>
      </c>
      <c r="C297" s="8" t="s">
        <v>2272</v>
      </c>
      <c r="D297" s="8" t="s">
        <v>41</v>
      </c>
      <c r="E297" s="8" t="n">
        <v>10000</v>
      </c>
      <c r="F297" s="38" t="n">
        <f aca="false">IFERROR(VALUE(SUBSTITUTE(SUBSTITUTE('Axis INDOFLAZ'!E2,"Rp. ",""),".","")),'Axis INDOFLAZ'!E2)</f>
        <v>10700</v>
      </c>
      <c r="G297" s="38" t="n">
        <f aca="false">IFERROR(VALUE(SUBSTITUTE(SUBSTITUTE('Axis INDOFLAZ'!F2,"Rp. ",""),".","")),'Axis INDOFLAZ'!F2)</f>
        <v>10500</v>
      </c>
      <c r="H297" s="38" t="n">
        <f aca="false">IFERROR(VALUE(SUBSTITUTE(SUBSTITUTE('Axis INDOFLAZ'!G2,"Rp. ",""),".","")),'Axis INDOFLAZ'!G2)</f>
        <v>10300</v>
      </c>
      <c r="I297" s="8" t="s">
        <v>2641</v>
      </c>
      <c r="J297" s="38" t="n">
        <f aca="false">'Axis OURASTORE'!A6</f>
        <v>12894</v>
      </c>
      <c r="K297" s="39"/>
      <c r="L297" s="39"/>
      <c r="M297" s="8" t="n">
        <f aca="false">COUNT(J297:L297)</f>
        <v>1</v>
      </c>
      <c r="N297" s="40" t="str">
        <f aca="false">IF(M297&gt;0,"Ada","Tidak Ada")</f>
        <v>Ada</v>
      </c>
      <c r="O297" s="41" t="n">
        <f aca="false">IF(M297&gt;0,MIN(J297:L297),"-")</f>
        <v>12894</v>
      </c>
      <c r="P297" s="41" t="n">
        <f aca="false">IF(M297&gt;0,AVERAGE(J297:L297),"-")</f>
        <v>12894</v>
      </c>
      <c r="Q297" s="41" t="n">
        <f aca="false">IF(M297&gt;0,O297-G297,"-")</f>
        <v>2394</v>
      </c>
      <c r="R297" s="42" t="n">
        <f aca="false">IF(M297&gt;0,IFERROR(Q297/O297,"-"),"-")</f>
        <v>0.185667752442997</v>
      </c>
      <c r="S297" s="41" t="n">
        <f aca="false">IF(M297&gt;0,ROUND(MAX(G297*1.08,O297*0.97)/100,0)*100,ROUND(G297*1.12/100,0)*100)</f>
        <v>12500</v>
      </c>
      <c r="T297" s="42" t="n">
        <f aca="false">IFERROR((S297-G297)/S297,"-")</f>
        <v>0.16</v>
      </c>
    </row>
    <row r="298" customFormat="false" ht="15" hidden="false" customHeight="false" outlineLevel="0" collapsed="false">
      <c r="A298" s="8" t="s">
        <v>2271</v>
      </c>
      <c r="B298" s="8" t="s">
        <v>2277</v>
      </c>
      <c r="C298" s="8" t="s">
        <v>2278</v>
      </c>
      <c r="D298" s="8" t="s">
        <v>41</v>
      </c>
      <c r="E298" s="8" t="n">
        <v>15000</v>
      </c>
      <c r="F298" s="38" t="n">
        <f aca="false">IFERROR(VALUE(SUBSTITUTE(SUBSTITUTE('Axis INDOFLAZ'!E3,"Rp. ",""),".","")),'Axis INDOFLAZ'!E3)</f>
        <v>15110</v>
      </c>
      <c r="G298" s="38" t="n">
        <f aca="false">IFERROR(VALUE(SUBSTITUTE(SUBSTITUTE('Axis INDOFLAZ'!F3,"Rp. ",""),".","")),'Axis INDOFLAZ'!F3)</f>
        <v>14910</v>
      </c>
      <c r="H298" s="38" t="n">
        <f aca="false">IFERROR(VALUE(SUBSTITUTE(SUBSTITUTE('Axis INDOFLAZ'!G3,"Rp. ",""),".","")),'Axis INDOFLAZ'!G3)</f>
        <v>14710</v>
      </c>
      <c r="I298" s="8" t="s">
        <v>2641</v>
      </c>
      <c r="J298" s="38" t="n">
        <f aca="false">'Axis OURASTORE'!A8</f>
        <v>17062</v>
      </c>
      <c r="K298" s="39"/>
      <c r="L298" s="39"/>
      <c r="M298" s="8" t="n">
        <f aca="false">COUNT(J298:L298)</f>
        <v>1</v>
      </c>
      <c r="N298" s="40" t="str">
        <f aca="false">IF(M298&gt;0,"Ada","Tidak Ada")</f>
        <v>Ada</v>
      </c>
      <c r="O298" s="41" t="n">
        <f aca="false">IF(M298&gt;0,MIN(J298:L298),"-")</f>
        <v>17062</v>
      </c>
      <c r="P298" s="41" t="n">
        <f aca="false">IF(M298&gt;0,AVERAGE(J298:L298),"-")</f>
        <v>17062</v>
      </c>
      <c r="Q298" s="41" t="n">
        <f aca="false">IF(M298&gt;0,O298-G298,"-")</f>
        <v>2152</v>
      </c>
      <c r="R298" s="42" t="n">
        <f aca="false">IF(M298&gt;0,IFERROR(Q298/O298,"-"),"-")</f>
        <v>0.12612823819013</v>
      </c>
      <c r="S298" s="41" t="n">
        <f aca="false">IF(M298&gt;0,ROUND(MAX(G298*1.08,O298*0.97)/100,0)*100,ROUND(G298*1.12/100,0)*100)</f>
        <v>16600</v>
      </c>
      <c r="T298" s="42" t="n">
        <f aca="false">IFERROR((S298-G298)/S298,"-")</f>
        <v>0.101807228915663</v>
      </c>
    </row>
    <row r="299" customFormat="false" ht="15" hidden="false" customHeight="false" outlineLevel="0" collapsed="false">
      <c r="A299" s="8" t="s">
        <v>2271</v>
      </c>
      <c r="B299" s="8" t="s">
        <v>2283</v>
      </c>
      <c r="C299" s="8" t="s">
        <v>2284</v>
      </c>
      <c r="D299" s="8" t="s">
        <v>41</v>
      </c>
      <c r="E299" s="8" t="n">
        <v>25000</v>
      </c>
      <c r="F299" s="38" t="n">
        <f aca="false">IFERROR(VALUE(SUBSTITUTE(SUBSTITUTE('Axis INDOFLAZ'!E4,"Rp. ",""),".","")),'Axis INDOFLAZ'!E4)</f>
        <v>24810</v>
      </c>
      <c r="G299" s="38" t="n">
        <f aca="false">IFERROR(VALUE(SUBSTITUTE(SUBSTITUTE('Axis INDOFLAZ'!F4,"Rp. ",""),".","")),'Axis INDOFLAZ'!F4)</f>
        <v>24610</v>
      </c>
      <c r="H299" s="38" t="n">
        <f aca="false">IFERROR(VALUE(SUBSTITUTE(SUBSTITUTE('Axis INDOFLAZ'!G4,"Rp. ",""),".","")),'Axis INDOFLAZ'!G4)</f>
        <v>24410</v>
      </c>
      <c r="I299" s="8" t="s">
        <v>2641</v>
      </c>
      <c r="J299" s="38" t="n">
        <f aca="false">'Axis OURASTORE'!A10</f>
        <v>27093</v>
      </c>
      <c r="K299" s="39"/>
      <c r="L299" s="39"/>
      <c r="M299" s="8" t="n">
        <f aca="false">COUNT(J299:L299)</f>
        <v>1</v>
      </c>
      <c r="N299" s="40" t="str">
        <f aca="false">IF(M299&gt;0,"Ada","Tidak Ada")</f>
        <v>Ada</v>
      </c>
      <c r="O299" s="41" t="n">
        <f aca="false">IF(M299&gt;0,MIN(J299:L299),"-")</f>
        <v>27093</v>
      </c>
      <c r="P299" s="41" t="n">
        <f aca="false">IF(M299&gt;0,AVERAGE(J299:L299),"-")</f>
        <v>27093</v>
      </c>
      <c r="Q299" s="41" t="n">
        <f aca="false">IF(M299&gt;0,O299-G299,"-")</f>
        <v>2483</v>
      </c>
      <c r="R299" s="42" t="n">
        <f aca="false">IF(M299&gt;0,IFERROR(Q299/O299,"-"),"-")</f>
        <v>0.09164728896763</v>
      </c>
      <c r="S299" s="41" t="n">
        <f aca="false">IF(M299&gt;0,ROUND(MAX(G299*1.08,O299*0.97)/100,0)*100,ROUND(G299*1.12/100,0)*100)</f>
        <v>26600</v>
      </c>
      <c r="T299" s="42" t="n">
        <f aca="false">IFERROR((S299-G299)/S299,"-")</f>
        <v>0.074812030075188</v>
      </c>
    </row>
    <row r="300" customFormat="false" ht="15" hidden="false" customHeight="false" outlineLevel="0" collapsed="false">
      <c r="A300" s="8" t="s">
        <v>2271</v>
      </c>
      <c r="B300" s="8" t="s">
        <v>2289</v>
      </c>
      <c r="C300" s="8" t="s">
        <v>2290</v>
      </c>
      <c r="D300" s="8" t="s">
        <v>41</v>
      </c>
      <c r="E300" s="8" t="n">
        <v>30000</v>
      </c>
      <c r="F300" s="38" t="n">
        <f aca="false">IFERROR(VALUE(SUBSTITUTE(SUBSTITUTE('Axis INDOFLAZ'!E5,"Rp. ",""),".","")),'Axis INDOFLAZ'!E5)</f>
        <v>30339</v>
      </c>
      <c r="G300" s="38" t="n">
        <f aca="false">IFERROR(VALUE(SUBSTITUTE(SUBSTITUTE('Axis INDOFLAZ'!F5,"Rp. ",""),".","")),'Axis INDOFLAZ'!F5)</f>
        <v>30139</v>
      </c>
      <c r="H300" s="38" t="n">
        <f aca="false">IFERROR(VALUE(SUBSTITUTE(SUBSTITUTE('Axis INDOFLAZ'!G5,"Rp. ",""),".","")),'Axis INDOFLAZ'!G5)</f>
        <v>29939</v>
      </c>
      <c r="I300" s="8" t="s">
        <v>2625</v>
      </c>
      <c r="J300" s="39"/>
      <c r="K300" s="39"/>
      <c r="L300" s="39"/>
      <c r="M300" s="8" t="n">
        <f aca="false">COUNT(J300:L300)</f>
        <v>0</v>
      </c>
      <c r="N300" s="40" t="str">
        <f aca="false">IF(M300&gt;0,"Ada","Tidak Ada")</f>
        <v>Tidak Ada</v>
      </c>
      <c r="O300" s="41" t="str">
        <f aca="false">IF(M300&gt;0,MIN(J300:L300),"-")</f>
        <v>-</v>
      </c>
      <c r="P300" s="41" t="str">
        <f aca="false">IF(M300&gt;0,AVERAGE(J300:L300),"-")</f>
        <v>-</v>
      </c>
      <c r="Q300" s="41" t="str">
        <f aca="false">IF(M300&gt;0,O300-G300,"-")</f>
        <v>-</v>
      </c>
      <c r="R300" s="42" t="str">
        <f aca="false">IF(M300&gt;0,IFERROR(Q300/O300,"-"),"-")</f>
        <v>-</v>
      </c>
      <c r="S300" s="41" t="n">
        <f aca="false">IF(M300&gt;0,ROUND(MAX(G300*1.08,O300*0.97)/100,0)*100,ROUND(G300*1.12/100,0)*100)</f>
        <v>33800</v>
      </c>
      <c r="T300" s="42" t="n">
        <f aca="false">IFERROR((S300-G300)/S300,"-")</f>
        <v>0.108313609467456</v>
      </c>
    </row>
    <row r="301" customFormat="false" ht="15" hidden="false" customHeight="false" outlineLevel="0" collapsed="false">
      <c r="A301" s="8" t="s">
        <v>2271</v>
      </c>
      <c r="B301" s="8" t="s">
        <v>2295</v>
      </c>
      <c r="C301" s="8" t="s">
        <v>2296</v>
      </c>
      <c r="D301" s="8" t="s">
        <v>41</v>
      </c>
      <c r="E301" s="8" t="n">
        <v>50000</v>
      </c>
      <c r="F301" s="38" t="n">
        <f aca="false">IFERROR(VALUE(SUBSTITUTE(SUBSTITUTE('Axis INDOFLAZ'!E6,"Rp. ",""),".","")),'Axis INDOFLAZ'!E6)</f>
        <v>50155</v>
      </c>
      <c r="G301" s="38" t="n">
        <f aca="false">IFERROR(VALUE(SUBSTITUTE(SUBSTITUTE('Axis INDOFLAZ'!F6,"Rp. ",""),".","")),'Axis INDOFLAZ'!F6)</f>
        <v>49955</v>
      </c>
      <c r="H301" s="38" t="n">
        <f aca="false">IFERROR(VALUE(SUBSTITUTE(SUBSTITUTE('Axis INDOFLAZ'!G6,"Rp. ",""),".","")),'Axis INDOFLAZ'!G6)</f>
        <v>49755</v>
      </c>
      <c r="I301" s="8" t="s">
        <v>2641</v>
      </c>
      <c r="J301" s="38" t="n">
        <f aca="false">'Axis OURASTORE'!A12</f>
        <v>52186</v>
      </c>
      <c r="K301" s="39"/>
      <c r="L301" s="39"/>
      <c r="M301" s="8" t="n">
        <f aca="false">COUNT(J301:L301)</f>
        <v>1</v>
      </c>
      <c r="N301" s="40" t="str">
        <f aca="false">IF(M301&gt;0,"Ada","Tidak Ada")</f>
        <v>Ada</v>
      </c>
      <c r="O301" s="41" t="n">
        <f aca="false">IF(M301&gt;0,MIN(J301:L301),"-")</f>
        <v>52186</v>
      </c>
      <c r="P301" s="41" t="n">
        <f aca="false">IF(M301&gt;0,AVERAGE(J301:L301),"-")</f>
        <v>52186</v>
      </c>
      <c r="Q301" s="41" t="n">
        <f aca="false">IF(M301&gt;0,O301-G301,"-")</f>
        <v>2231</v>
      </c>
      <c r="R301" s="42" t="n">
        <f aca="false">IF(M301&gt;0,IFERROR(Q301/O301,"-"),"-")</f>
        <v>0.0427509293680297</v>
      </c>
      <c r="S301" s="41" t="n">
        <f aca="false">IF(M301&gt;0,ROUND(MAX(G301*1.08,O301*0.97)/100,0)*100,ROUND(G301*1.12/100,0)*100)</f>
        <v>54000</v>
      </c>
      <c r="T301" s="42" t="n">
        <f aca="false">IFERROR((S301-G301)/S301,"-")</f>
        <v>0.0749074074074074</v>
      </c>
    </row>
    <row r="302" customFormat="false" ht="15" hidden="false" customHeight="false" outlineLevel="0" collapsed="false">
      <c r="A302" s="8" t="s">
        <v>2271</v>
      </c>
      <c r="B302" s="8" t="s">
        <v>2300</v>
      </c>
      <c r="C302" s="8" t="s">
        <v>2301</v>
      </c>
      <c r="D302" s="8" t="s">
        <v>41</v>
      </c>
      <c r="E302" s="8" t="n">
        <v>100000</v>
      </c>
      <c r="F302" s="38" t="n">
        <f aca="false">IFERROR(VALUE(SUBSTITUTE(SUBSTITUTE('Axis INDOFLAZ'!E7,"Rp. ",""),".","")),'Axis INDOFLAZ'!E7)</f>
        <v>99240</v>
      </c>
      <c r="G302" s="38" t="n">
        <f aca="false">IFERROR(VALUE(SUBSTITUTE(SUBSTITUTE('Axis INDOFLAZ'!F7,"Rp. ",""),".","")),'Axis INDOFLAZ'!F7)</f>
        <v>99040</v>
      </c>
      <c r="H302" s="38" t="n">
        <f aca="false">IFERROR(VALUE(SUBSTITUTE(SUBSTITUTE('Axis INDOFLAZ'!G7,"Rp. ",""),".","")),'Axis INDOFLAZ'!G7)</f>
        <v>98840</v>
      </c>
      <c r="I302" s="8" t="s">
        <v>2641</v>
      </c>
      <c r="J302" s="38" t="n">
        <f aca="false">'Axis OURASTORE'!A14</f>
        <v>102224</v>
      </c>
      <c r="K302" s="39"/>
      <c r="L302" s="39"/>
      <c r="M302" s="8" t="n">
        <f aca="false">COUNT(J302:L302)</f>
        <v>1</v>
      </c>
      <c r="N302" s="40" t="str">
        <f aca="false">IF(M302&gt;0,"Ada","Tidak Ada")</f>
        <v>Ada</v>
      </c>
      <c r="O302" s="41" t="n">
        <f aca="false">IF(M302&gt;0,MIN(J302:L302),"-")</f>
        <v>102224</v>
      </c>
      <c r="P302" s="41" t="n">
        <f aca="false">IF(M302&gt;0,AVERAGE(J302:L302),"-")</f>
        <v>102224</v>
      </c>
      <c r="Q302" s="41" t="n">
        <f aca="false">IF(M302&gt;0,O302-G302,"-")</f>
        <v>3184</v>
      </c>
      <c r="R302" s="42" t="n">
        <f aca="false">IF(M302&gt;0,IFERROR(Q302/O302,"-"),"-")</f>
        <v>0.031147284395054</v>
      </c>
      <c r="S302" s="41" t="n">
        <f aca="false">IF(M302&gt;0,ROUND(MAX(G302*1.08,O302*0.97)/100,0)*100,ROUND(G302*1.12/100,0)*100)</f>
        <v>107000</v>
      </c>
      <c r="T302" s="42" t="n">
        <f aca="false">IFERROR((S302-G302)/S302,"-")</f>
        <v>0.074392523364486</v>
      </c>
    </row>
    <row r="303" customFormat="false" ht="15" hidden="false" customHeight="false" outlineLevel="0" collapsed="false">
      <c r="A303" s="8" t="s">
        <v>2271</v>
      </c>
      <c r="B303" s="8" t="s">
        <v>2306</v>
      </c>
      <c r="C303" s="8" t="s">
        <v>2307</v>
      </c>
      <c r="D303" s="8" t="s">
        <v>41</v>
      </c>
      <c r="E303" s="8" t="n">
        <v>200000</v>
      </c>
      <c r="F303" s="38" t="n">
        <f aca="false">IFERROR(VALUE(SUBSTITUTE(SUBSTITUTE('Axis INDOFLAZ'!E8,"Rp. ",""),".","")),'Axis INDOFLAZ'!E8)</f>
        <v>200185</v>
      </c>
      <c r="G303" s="38" t="n">
        <f aca="false">IFERROR(VALUE(SUBSTITUTE(SUBSTITUTE('Axis INDOFLAZ'!F8,"Rp. ",""),".","")),'Axis INDOFLAZ'!F8)</f>
        <v>199985</v>
      </c>
      <c r="H303" s="38" t="n">
        <f aca="false">IFERROR(VALUE(SUBSTITUTE(SUBSTITUTE('Axis INDOFLAZ'!G8,"Rp. ",""),".","")),'Axis INDOFLAZ'!G8)</f>
        <v>199785</v>
      </c>
      <c r="I303" s="8" t="s">
        <v>2625</v>
      </c>
      <c r="J303" s="39"/>
      <c r="K303" s="39"/>
      <c r="L303" s="39"/>
      <c r="M303" s="8" t="n">
        <f aca="false">COUNT(J303:L303)</f>
        <v>0</v>
      </c>
      <c r="N303" s="40" t="str">
        <f aca="false">IF(M303&gt;0,"Ada","Tidak Ada")</f>
        <v>Tidak Ada</v>
      </c>
      <c r="O303" s="41" t="str">
        <f aca="false">IF(M303&gt;0,MIN(J303:L303),"-")</f>
        <v>-</v>
      </c>
      <c r="P303" s="41" t="str">
        <f aca="false">IF(M303&gt;0,AVERAGE(J303:L303),"-")</f>
        <v>-</v>
      </c>
      <c r="Q303" s="41" t="str">
        <f aca="false">IF(M303&gt;0,O303-G303,"-")</f>
        <v>-</v>
      </c>
      <c r="R303" s="42" t="str">
        <f aca="false">IF(M303&gt;0,IFERROR(Q303/O303,"-"),"-")</f>
        <v>-</v>
      </c>
      <c r="S303" s="41" t="n">
        <f aca="false">IF(M303&gt;0,ROUND(MAX(G303*1.08,O303*0.97)/100,0)*100,ROUND(G303*1.12/100,0)*100)</f>
        <v>224000</v>
      </c>
      <c r="T303" s="42" t="n">
        <f aca="false">IFERROR((S303-G303)/S303,"-")</f>
        <v>0.107209821428571</v>
      </c>
    </row>
    <row r="304" customFormat="false" ht="15" hidden="false" customHeight="false" outlineLevel="0" collapsed="false">
      <c r="A304" s="8" t="s">
        <v>2271</v>
      </c>
      <c r="B304" s="8" t="s">
        <v>2312</v>
      </c>
      <c r="C304" s="8" t="s">
        <v>2313</v>
      </c>
      <c r="D304" s="8" t="s">
        <v>41</v>
      </c>
      <c r="E304" s="8" t="n">
        <v>300000</v>
      </c>
      <c r="F304" s="38" t="n">
        <f aca="false">IFERROR(VALUE(SUBSTITUTE(SUBSTITUTE('Axis INDOFLAZ'!E9,"Rp. ",""),".","")),'Axis INDOFLAZ'!E9)</f>
        <v>298775</v>
      </c>
      <c r="G304" s="38" t="n">
        <f aca="false">IFERROR(VALUE(SUBSTITUTE(SUBSTITUTE('Axis INDOFLAZ'!F9,"Rp. ",""),".","")),'Axis INDOFLAZ'!F9)</f>
        <v>298575</v>
      </c>
      <c r="H304" s="38" t="n">
        <f aca="false">IFERROR(VALUE(SUBSTITUTE(SUBSTITUTE('Axis INDOFLAZ'!G9,"Rp. ",""),".","")),'Axis INDOFLAZ'!G9)</f>
        <v>298375</v>
      </c>
      <c r="I304" s="8" t="s">
        <v>2625</v>
      </c>
      <c r="J304" s="39"/>
      <c r="K304" s="39"/>
      <c r="L304" s="39"/>
      <c r="M304" s="8" t="n">
        <f aca="false">COUNT(J304:L304)</f>
        <v>0</v>
      </c>
      <c r="N304" s="40" t="str">
        <f aca="false">IF(M304&gt;0,"Ada","Tidak Ada")</f>
        <v>Tidak Ada</v>
      </c>
      <c r="O304" s="41" t="str">
        <f aca="false">IF(M304&gt;0,MIN(J304:L304),"-")</f>
        <v>-</v>
      </c>
      <c r="P304" s="41" t="str">
        <f aca="false">IF(M304&gt;0,AVERAGE(J304:L304),"-")</f>
        <v>-</v>
      </c>
      <c r="Q304" s="41" t="str">
        <f aca="false">IF(M304&gt;0,O304-G304,"-")</f>
        <v>-</v>
      </c>
      <c r="R304" s="42" t="str">
        <f aca="false">IF(M304&gt;0,IFERROR(Q304/O304,"-"),"-")</f>
        <v>-</v>
      </c>
      <c r="S304" s="41" t="n">
        <f aca="false">IF(M304&gt;0,ROUND(MAX(G304*1.08,O304*0.97)/100,0)*100,ROUND(G304*1.12/100,0)*100)</f>
        <v>334400</v>
      </c>
      <c r="T304" s="42" t="n">
        <f aca="false">IFERROR((S304-G304)/S304,"-")</f>
        <v>0.107132177033493</v>
      </c>
    </row>
    <row r="305" customFormat="false" ht="15" hidden="false" customHeight="false" outlineLevel="0" collapsed="false">
      <c r="A305" s="8" t="s">
        <v>2271</v>
      </c>
      <c r="B305" s="8" t="s">
        <v>2318</v>
      </c>
      <c r="C305" s="8" t="s">
        <v>2319</v>
      </c>
      <c r="D305" s="8" t="s">
        <v>41</v>
      </c>
      <c r="E305" s="8" t="n">
        <v>500000</v>
      </c>
      <c r="F305" s="38" t="n">
        <f aca="false">IFERROR(VALUE(SUBSTITUTE(SUBSTITUTE('Axis INDOFLAZ'!E10,"Rp. ",""),".","")),'Axis INDOFLAZ'!E10)</f>
        <v>496100</v>
      </c>
      <c r="G305" s="38" t="n">
        <f aca="false">IFERROR(VALUE(SUBSTITUTE(SUBSTITUTE('Axis INDOFLAZ'!F10,"Rp. ",""),".","")),'Axis INDOFLAZ'!F10)</f>
        <v>495900</v>
      </c>
      <c r="H305" s="38" t="n">
        <f aca="false">IFERROR(VALUE(SUBSTITUTE(SUBSTITUTE('Axis INDOFLAZ'!G10,"Rp. ",""),".","")),'Axis INDOFLAZ'!G10)</f>
        <v>495700</v>
      </c>
      <c r="I305" s="8" t="s">
        <v>2625</v>
      </c>
      <c r="J305" s="39"/>
      <c r="K305" s="39"/>
      <c r="L305" s="39"/>
      <c r="M305" s="8" t="n">
        <f aca="false">COUNT(J305:L305)</f>
        <v>0</v>
      </c>
      <c r="N305" s="40" t="str">
        <f aca="false">IF(M305&gt;0,"Ada","Tidak Ada")</f>
        <v>Tidak Ada</v>
      </c>
      <c r="O305" s="41" t="str">
        <f aca="false">IF(M305&gt;0,MIN(J305:L305),"-")</f>
        <v>-</v>
      </c>
      <c r="P305" s="41" t="str">
        <f aca="false">IF(M305&gt;0,AVERAGE(J305:L305),"-")</f>
        <v>-</v>
      </c>
      <c r="Q305" s="41" t="str">
        <f aca="false">IF(M305&gt;0,O305-G305,"-")</f>
        <v>-</v>
      </c>
      <c r="R305" s="42" t="str">
        <f aca="false">IF(M305&gt;0,IFERROR(Q305/O305,"-"),"-")</f>
        <v>-</v>
      </c>
      <c r="S305" s="41" t="n">
        <f aca="false">IF(M305&gt;0,ROUND(MAX(G305*1.08,O305*0.97)/100,0)*100,ROUND(G305*1.12/100,0)*100)</f>
        <v>555400</v>
      </c>
      <c r="T305" s="42" t="n">
        <f aca="false">IFERROR((S305-G305)/S305,"-")</f>
        <v>0.107129996398992</v>
      </c>
    </row>
    <row r="306" customFormat="false" ht="15" hidden="false" customHeight="false" outlineLevel="0" collapsed="false">
      <c r="A306" s="8" t="s">
        <v>2271</v>
      </c>
      <c r="B306" s="8" t="s">
        <v>2324</v>
      </c>
      <c r="C306" s="8" t="s">
        <v>2325</v>
      </c>
      <c r="D306" s="8" t="s">
        <v>41</v>
      </c>
      <c r="E306" s="8" t="n">
        <v>1000000</v>
      </c>
      <c r="F306" s="38" t="n">
        <f aca="false">IFERROR(VALUE(SUBSTITUTE(SUBSTITUTE('Axis INDOFLAZ'!E11,"Rp. ",""),".","")),'Axis INDOFLAZ'!E11)</f>
        <v>994210</v>
      </c>
      <c r="G306" s="38" t="n">
        <f aca="false">IFERROR(VALUE(SUBSTITUTE(SUBSTITUTE('Axis INDOFLAZ'!F11,"Rp. ",""),".","")),'Axis INDOFLAZ'!F11)</f>
        <v>994010</v>
      </c>
      <c r="H306" s="38" t="n">
        <f aca="false">IFERROR(VALUE(SUBSTITUTE(SUBSTITUTE('Axis INDOFLAZ'!G11,"Rp. ",""),".","")),'Axis INDOFLAZ'!G11)</f>
        <v>993810</v>
      </c>
      <c r="I306" s="8" t="s">
        <v>2625</v>
      </c>
      <c r="J306" s="39"/>
      <c r="K306" s="39"/>
      <c r="L306" s="39"/>
      <c r="M306" s="8" t="n">
        <f aca="false">COUNT(J306:L306)</f>
        <v>0</v>
      </c>
      <c r="N306" s="40" t="str">
        <f aca="false">IF(M306&gt;0,"Ada","Tidak Ada")</f>
        <v>Tidak Ada</v>
      </c>
      <c r="O306" s="41" t="str">
        <f aca="false">IF(M306&gt;0,MIN(J306:L306),"-")</f>
        <v>-</v>
      </c>
      <c r="P306" s="41" t="str">
        <f aca="false">IF(M306&gt;0,AVERAGE(J306:L306),"-")</f>
        <v>-</v>
      </c>
      <c r="Q306" s="41" t="str">
        <f aca="false">IF(M306&gt;0,O306-G306,"-")</f>
        <v>-</v>
      </c>
      <c r="R306" s="42" t="str">
        <f aca="false">IF(M306&gt;0,IFERROR(Q306/O306,"-"),"-")</f>
        <v>-</v>
      </c>
      <c r="S306" s="41" t="n">
        <f aca="false">IF(M306&gt;0,ROUND(MAX(G306*1.08,O306*0.97)/100,0)*100,ROUND(G306*1.12/100,0)*100)</f>
        <v>1113300</v>
      </c>
      <c r="T306" s="42" t="n">
        <f aca="false">IFERROR((S306-G306)/S306,"-")</f>
        <v>0.107149914668104</v>
      </c>
    </row>
    <row r="307" customFormat="false" ht="15" hidden="false" customHeight="false" outlineLevel="0" collapsed="false">
      <c r="A307" s="8" t="s">
        <v>2332</v>
      </c>
      <c r="B307" s="8" t="s">
        <v>2331</v>
      </c>
      <c r="C307" s="8" t="s">
        <v>2333</v>
      </c>
      <c r="D307" s="8" t="s">
        <v>42</v>
      </c>
      <c r="E307" s="8" t="n">
        <v>15000</v>
      </c>
      <c r="F307" s="38" t="n">
        <f aca="false">IFERROR(VALUE(SUBSTITUTE(SUBSTITUTE('XL INDOFLAZ'!E2,"Rp. ",""),".","")),'XL INDOFLAZ'!E2)</f>
        <v>15195</v>
      </c>
      <c r="G307" s="38" t="n">
        <f aca="false">IFERROR(VALUE(SUBSTITUTE(SUBSTITUTE('XL INDOFLAZ'!F2,"Rp. ",""),".","")),'XL INDOFLAZ'!F2)</f>
        <v>14995</v>
      </c>
      <c r="H307" s="38" t="n">
        <f aca="false">IFERROR(VALUE(SUBSTITUTE(SUBSTITUTE('XL INDOFLAZ'!G2,"Rp. ",""),".","")),'XL INDOFLAZ'!G2)</f>
        <v>14795</v>
      </c>
      <c r="I307" s="8" t="s">
        <v>2642</v>
      </c>
      <c r="J307" s="38" t="n">
        <f aca="false">'XL OURASTORE'!A8</f>
        <v>17013</v>
      </c>
      <c r="K307" s="39"/>
      <c r="L307" s="39"/>
      <c r="M307" s="8" t="n">
        <f aca="false">COUNT(J307:L307)</f>
        <v>1</v>
      </c>
      <c r="N307" s="40" t="str">
        <f aca="false">IF(M307&gt;0,"Ada","Tidak Ada")</f>
        <v>Ada</v>
      </c>
      <c r="O307" s="41" t="n">
        <f aca="false">IF(M307&gt;0,MIN(J307:L307),"-")</f>
        <v>17013</v>
      </c>
      <c r="P307" s="41" t="n">
        <f aca="false">IF(M307&gt;0,AVERAGE(J307:L307),"-")</f>
        <v>17013</v>
      </c>
      <c r="Q307" s="41" t="n">
        <f aca="false">IF(M307&gt;0,O307-G307,"-")</f>
        <v>2018</v>
      </c>
      <c r="R307" s="42" t="n">
        <f aca="false">IF(M307&gt;0,IFERROR(Q307/O307,"-"),"-")</f>
        <v>0.118615176629636</v>
      </c>
      <c r="S307" s="41" t="n">
        <f aca="false">IF(M307&gt;0,ROUND(MAX(G307*1.08,O307*0.97)/100,0)*100,ROUND(G307*1.12/100,0)*100)</f>
        <v>16500</v>
      </c>
      <c r="T307" s="42" t="n">
        <f aca="false">IFERROR((S307-G307)/S307,"-")</f>
        <v>0.0912121212121212</v>
      </c>
    </row>
    <row r="308" customFormat="false" ht="15" hidden="false" customHeight="false" outlineLevel="0" collapsed="false">
      <c r="A308" s="8" t="s">
        <v>2332</v>
      </c>
      <c r="B308" s="8" t="s">
        <v>2338</v>
      </c>
      <c r="C308" s="8" t="s">
        <v>2339</v>
      </c>
      <c r="D308" s="8" t="s">
        <v>42</v>
      </c>
      <c r="E308" s="8" t="n">
        <v>25000</v>
      </c>
      <c r="F308" s="38" t="n">
        <f aca="false">IFERROR(VALUE(SUBSTITUTE(SUBSTITUTE('XL INDOFLAZ'!E3,"Rp. ",""),".","")),'XL INDOFLAZ'!E3)</f>
        <v>25320</v>
      </c>
      <c r="G308" s="38" t="n">
        <f aca="false">IFERROR(VALUE(SUBSTITUTE(SUBSTITUTE('XL INDOFLAZ'!F3,"Rp. ",""),".","")),'XL INDOFLAZ'!F3)</f>
        <v>25120</v>
      </c>
      <c r="H308" s="38" t="n">
        <f aca="false">IFERROR(VALUE(SUBSTITUTE(SUBSTITUTE('XL INDOFLAZ'!G3,"Rp. ",""),".","")),'XL INDOFLAZ'!G3)</f>
        <v>24920</v>
      </c>
      <c r="I308" s="8" t="s">
        <v>2642</v>
      </c>
      <c r="J308" s="38" t="n">
        <f aca="false">'XL OURASTORE'!A10</f>
        <v>27049</v>
      </c>
      <c r="K308" s="39"/>
      <c r="L308" s="39"/>
      <c r="M308" s="8" t="n">
        <f aca="false">COUNT(J308:L308)</f>
        <v>1</v>
      </c>
      <c r="N308" s="40" t="str">
        <f aca="false">IF(M308&gt;0,"Ada","Tidak Ada")</f>
        <v>Ada</v>
      </c>
      <c r="O308" s="41" t="n">
        <f aca="false">IF(M308&gt;0,MIN(J308:L308),"-")</f>
        <v>27049</v>
      </c>
      <c r="P308" s="41" t="n">
        <f aca="false">IF(M308&gt;0,AVERAGE(J308:L308),"-")</f>
        <v>27049</v>
      </c>
      <c r="Q308" s="41" t="n">
        <f aca="false">IF(M308&gt;0,O308-G308,"-")</f>
        <v>1929</v>
      </c>
      <c r="R308" s="42" t="n">
        <f aca="false">IF(M308&gt;0,IFERROR(Q308/O308,"-"),"-")</f>
        <v>0.071315020888018</v>
      </c>
      <c r="S308" s="41" t="n">
        <f aca="false">IF(M308&gt;0,ROUND(MAX(G308*1.08,O308*0.97)/100,0)*100,ROUND(G308*1.12/100,0)*100)</f>
        <v>27100</v>
      </c>
      <c r="T308" s="42" t="n">
        <f aca="false">IFERROR((S308-G308)/S308,"-")</f>
        <v>0.0730627306273063</v>
      </c>
    </row>
    <row r="309" customFormat="false" ht="15" hidden="false" customHeight="false" outlineLevel="0" collapsed="false">
      <c r="A309" s="8" t="s">
        <v>2332</v>
      </c>
      <c r="B309" s="8" t="s">
        <v>2344</v>
      </c>
      <c r="C309" s="8" t="s">
        <v>2345</v>
      </c>
      <c r="D309" s="8" t="s">
        <v>42</v>
      </c>
      <c r="E309" s="8" t="n">
        <v>30000</v>
      </c>
      <c r="F309" s="38" t="n">
        <f aca="false">IFERROR(VALUE(SUBSTITUTE(SUBSTITUTE('XL INDOFLAZ'!E4,"Rp. ",""),".","")),'XL INDOFLAZ'!E4)</f>
        <v>29550</v>
      </c>
      <c r="G309" s="38" t="n">
        <f aca="false">IFERROR(VALUE(SUBSTITUTE(SUBSTITUTE('XL INDOFLAZ'!F4,"Rp. ",""),".","")),'XL INDOFLAZ'!F4)</f>
        <v>29350</v>
      </c>
      <c r="H309" s="38" t="n">
        <f aca="false">IFERROR(VALUE(SUBSTITUTE(SUBSTITUTE('XL INDOFLAZ'!G4,"Rp. ",""),".","")),'XL INDOFLAZ'!G4)</f>
        <v>29150</v>
      </c>
      <c r="I309" s="8" t="s">
        <v>2625</v>
      </c>
      <c r="J309" s="39"/>
      <c r="K309" s="39"/>
      <c r="L309" s="39"/>
      <c r="M309" s="8" t="n">
        <f aca="false">COUNT(J309:L309)</f>
        <v>0</v>
      </c>
      <c r="N309" s="40" t="str">
        <f aca="false">IF(M309&gt;0,"Ada","Tidak Ada")</f>
        <v>Tidak Ada</v>
      </c>
      <c r="O309" s="41" t="str">
        <f aca="false">IF(M309&gt;0,MIN(J309:L309),"-")</f>
        <v>-</v>
      </c>
      <c r="P309" s="41" t="str">
        <f aca="false">IF(M309&gt;0,AVERAGE(J309:L309),"-")</f>
        <v>-</v>
      </c>
      <c r="Q309" s="41" t="str">
        <f aca="false">IF(M309&gt;0,O309-G309,"-")</f>
        <v>-</v>
      </c>
      <c r="R309" s="42" t="str">
        <f aca="false">IF(M309&gt;0,IFERROR(Q309/O309,"-"),"-")</f>
        <v>-</v>
      </c>
      <c r="S309" s="41" t="n">
        <f aca="false">IF(M309&gt;0,ROUND(MAX(G309*1.08,O309*0.97)/100,0)*100,ROUND(G309*1.12/100,0)*100)</f>
        <v>32900</v>
      </c>
      <c r="T309" s="42" t="n">
        <f aca="false">IFERROR((S309-G309)/S309,"-")</f>
        <v>0.10790273556231</v>
      </c>
    </row>
    <row r="310" customFormat="false" ht="15" hidden="false" customHeight="false" outlineLevel="0" collapsed="false">
      <c r="A310" s="8" t="s">
        <v>2332</v>
      </c>
      <c r="B310" s="8" t="s">
        <v>2350</v>
      </c>
      <c r="C310" s="8" t="s">
        <v>2351</v>
      </c>
      <c r="D310" s="8" t="s">
        <v>42</v>
      </c>
      <c r="E310" s="8" t="n">
        <v>40000</v>
      </c>
      <c r="F310" s="38" t="n">
        <f aca="false">IFERROR(VALUE(SUBSTITUTE(SUBSTITUTE('XL INDOFLAZ'!E5,"Rp. ",""),".","")),'XL INDOFLAZ'!E5)</f>
        <v>39425</v>
      </c>
      <c r="G310" s="38" t="n">
        <f aca="false">IFERROR(VALUE(SUBSTITUTE(SUBSTITUTE('XL INDOFLAZ'!F5,"Rp. ",""),".","")),'XL INDOFLAZ'!F5)</f>
        <v>39225</v>
      </c>
      <c r="H310" s="38" t="n">
        <f aca="false">IFERROR(VALUE(SUBSTITUTE(SUBSTITUTE('XL INDOFLAZ'!G5,"Rp. ",""),".","")),'XL INDOFLAZ'!G5)</f>
        <v>39025</v>
      </c>
      <c r="I310" s="8" t="s">
        <v>2625</v>
      </c>
      <c r="J310" s="39"/>
      <c r="K310" s="39"/>
      <c r="L310" s="39"/>
      <c r="M310" s="8" t="n">
        <f aca="false">COUNT(J310:L310)</f>
        <v>0</v>
      </c>
      <c r="N310" s="40" t="str">
        <f aca="false">IF(M310&gt;0,"Ada","Tidak Ada")</f>
        <v>Tidak Ada</v>
      </c>
      <c r="O310" s="41" t="str">
        <f aca="false">IF(M310&gt;0,MIN(J310:L310),"-")</f>
        <v>-</v>
      </c>
      <c r="P310" s="41" t="str">
        <f aca="false">IF(M310&gt;0,AVERAGE(J310:L310),"-")</f>
        <v>-</v>
      </c>
      <c r="Q310" s="41" t="str">
        <f aca="false">IF(M310&gt;0,O310-G310,"-")</f>
        <v>-</v>
      </c>
      <c r="R310" s="42" t="str">
        <f aca="false">IF(M310&gt;0,IFERROR(Q310/O310,"-"),"-")</f>
        <v>-</v>
      </c>
      <c r="S310" s="41" t="n">
        <f aca="false">IF(M310&gt;0,ROUND(MAX(G310*1.08,O310*0.97)/100,0)*100,ROUND(G310*1.12/100,0)*100)</f>
        <v>43900</v>
      </c>
      <c r="T310" s="42" t="n">
        <f aca="false">IFERROR((S310-G310)/S310,"-")</f>
        <v>0.106492027334852</v>
      </c>
    </row>
    <row r="311" customFormat="false" ht="15" hidden="false" customHeight="false" outlineLevel="0" collapsed="false">
      <c r="A311" s="8" t="s">
        <v>2332</v>
      </c>
      <c r="B311" s="8" t="s">
        <v>2356</v>
      </c>
      <c r="C311" s="8" t="s">
        <v>2357</v>
      </c>
      <c r="D311" s="8" t="s">
        <v>42</v>
      </c>
      <c r="E311" s="8" t="n">
        <v>50000</v>
      </c>
      <c r="F311" s="38" t="n">
        <f aca="false">IFERROR(VALUE(SUBSTITUTE(SUBSTITUTE('XL INDOFLAZ'!E6,"Rp. ",""),".","")),'XL INDOFLAZ'!E6)</f>
        <v>48500</v>
      </c>
      <c r="G311" s="38" t="n">
        <f aca="false">IFERROR(VALUE(SUBSTITUTE(SUBSTITUTE('XL INDOFLAZ'!F6,"Rp. ",""),".","")),'XL INDOFLAZ'!F6)</f>
        <v>48300</v>
      </c>
      <c r="H311" s="38" t="n">
        <f aca="false">IFERROR(VALUE(SUBSTITUTE(SUBSTITUTE('XL INDOFLAZ'!G6,"Rp. ",""),".","")),'XL INDOFLAZ'!G6)</f>
        <v>48100</v>
      </c>
      <c r="I311" s="8" t="s">
        <v>2642</v>
      </c>
      <c r="J311" s="38" t="n">
        <f aca="false">'XL OURASTORE'!A12</f>
        <v>52320</v>
      </c>
      <c r="K311" s="39"/>
      <c r="L311" s="39"/>
      <c r="M311" s="8" t="n">
        <f aca="false">COUNT(J311:L311)</f>
        <v>1</v>
      </c>
      <c r="N311" s="40" t="str">
        <f aca="false">IF(M311&gt;0,"Ada","Tidak Ada")</f>
        <v>Ada</v>
      </c>
      <c r="O311" s="41" t="n">
        <f aca="false">IF(M311&gt;0,MIN(J311:L311),"-")</f>
        <v>52320</v>
      </c>
      <c r="P311" s="41" t="n">
        <f aca="false">IF(M311&gt;0,AVERAGE(J311:L311),"-")</f>
        <v>52320</v>
      </c>
      <c r="Q311" s="41" t="n">
        <f aca="false">IF(M311&gt;0,O311-G311,"-")</f>
        <v>4020</v>
      </c>
      <c r="R311" s="42" t="n">
        <f aca="false">IF(M311&gt;0,IFERROR(Q311/O311,"-"),"-")</f>
        <v>0.0768348623853211</v>
      </c>
      <c r="S311" s="41" t="n">
        <f aca="false">IF(M311&gt;0,ROUND(MAX(G311*1.08,O311*0.97)/100,0)*100,ROUND(G311*1.12/100,0)*100)</f>
        <v>52200</v>
      </c>
      <c r="T311" s="42" t="n">
        <f aca="false">IFERROR((S311-G311)/S311,"-")</f>
        <v>0.0747126436781609</v>
      </c>
    </row>
    <row r="312" customFormat="false" ht="15" hidden="false" customHeight="false" outlineLevel="0" collapsed="false">
      <c r="A312" s="8" t="s">
        <v>2332</v>
      </c>
      <c r="B312" s="8" t="s">
        <v>2362</v>
      </c>
      <c r="C312" s="8" t="s">
        <v>2363</v>
      </c>
      <c r="D312" s="8" t="s">
        <v>42</v>
      </c>
      <c r="E312" s="8" t="n">
        <v>100000</v>
      </c>
      <c r="F312" s="38" t="n">
        <f aca="false">IFERROR(VALUE(SUBSTITUTE(SUBSTITUTE('XL INDOFLAZ'!E7,"Rp. ",""),".","")),'XL INDOFLAZ'!E7)</f>
        <v>99275</v>
      </c>
      <c r="G312" s="38" t="n">
        <f aca="false">IFERROR(VALUE(SUBSTITUTE(SUBSTITUTE('XL INDOFLAZ'!F7,"Rp. ",""),".","")),'XL INDOFLAZ'!F7)</f>
        <v>99075</v>
      </c>
      <c r="H312" s="38" t="n">
        <f aca="false">IFERROR(VALUE(SUBSTITUTE(SUBSTITUTE('XL INDOFLAZ'!G7,"Rp. ",""),".","")),'XL INDOFLAZ'!G7)</f>
        <v>98875</v>
      </c>
      <c r="I312" s="8" t="s">
        <v>2642</v>
      </c>
      <c r="J312" s="38" t="n">
        <f aca="false">'XL OURASTORE'!A14</f>
        <v>102498</v>
      </c>
      <c r="K312" s="39"/>
      <c r="L312" s="39"/>
      <c r="M312" s="8" t="n">
        <f aca="false">COUNT(J312:L312)</f>
        <v>1</v>
      </c>
      <c r="N312" s="40" t="str">
        <f aca="false">IF(M312&gt;0,"Ada","Tidak Ada")</f>
        <v>Ada</v>
      </c>
      <c r="O312" s="41" t="n">
        <f aca="false">IF(M312&gt;0,MIN(J312:L312),"-")</f>
        <v>102498</v>
      </c>
      <c r="P312" s="41" t="n">
        <f aca="false">IF(M312&gt;0,AVERAGE(J312:L312),"-")</f>
        <v>102498</v>
      </c>
      <c r="Q312" s="41" t="n">
        <f aca="false">IF(M312&gt;0,O312-G312,"-")</f>
        <v>3423</v>
      </c>
      <c r="R312" s="42" t="n">
        <f aca="false">IF(M312&gt;0,IFERROR(Q312/O312,"-"),"-")</f>
        <v>0.0333957735760698</v>
      </c>
      <c r="S312" s="41" t="n">
        <f aca="false">IF(M312&gt;0,ROUND(MAX(G312*1.08,O312*0.97)/100,0)*100,ROUND(G312*1.12/100,0)*100)</f>
        <v>107000</v>
      </c>
      <c r="T312" s="42" t="n">
        <f aca="false">IFERROR((S312-G312)/S312,"-")</f>
        <v>0.0740654205607477</v>
      </c>
    </row>
    <row r="313" customFormat="false" ht="15" hidden="false" customHeight="false" outlineLevel="0" collapsed="false">
      <c r="A313" s="8" t="s">
        <v>2332</v>
      </c>
      <c r="B313" s="8" t="s">
        <v>2368</v>
      </c>
      <c r="C313" s="8" t="s">
        <v>2369</v>
      </c>
      <c r="D313" s="8" t="s">
        <v>42</v>
      </c>
      <c r="E313" s="8" t="n">
        <v>150000</v>
      </c>
      <c r="F313" s="38" t="n">
        <f aca="false">IFERROR(VALUE(SUBSTITUTE(SUBSTITUTE('XL INDOFLAZ'!E8,"Rp. ",""),".","")),'XL INDOFLAZ'!E8)</f>
        <v>149810</v>
      </c>
      <c r="G313" s="38" t="n">
        <f aca="false">IFERROR(VALUE(SUBSTITUTE(SUBSTITUTE('XL INDOFLAZ'!F8,"Rp. ",""),".","")),'XL INDOFLAZ'!F8)</f>
        <v>149610</v>
      </c>
      <c r="H313" s="38" t="n">
        <f aca="false">IFERROR(VALUE(SUBSTITUTE(SUBSTITUTE('XL INDOFLAZ'!G8,"Rp. ",""),".","")),'XL INDOFLAZ'!G8)</f>
        <v>149410</v>
      </c>
      <c r="I313" s="8" t="s">
        <v>2625</v>
      </c>
      <c r="J313" s="39"/>
      <c r="K313" s="39"/>
      <c r="L313" s="39"/>
      <c r="M313" s="8" t="n">
        <f aca="false">COUNT(J313:L313)</f>
        <v>0</v>
      </c>
      <c r="N313" s="40" t="str">
        <f aca="false">IF(M313&gt;0,"Ada","Tidak Ada")</f>
        <v>Tidak Ada</v>
      </c>
      <c r="O313" s="41" t="str">
        <f aca="false">IF(M313&gt;0,MIN(J313:L313),"-")</f>
        <v>-</v>
      </c>
      <c r="P313" s="41" t="str">
        <f aca="false">IF(M313&gt;0,AVERAGE(J313:L313),"-")</f>
        <v>-</v>
      </c>
      <c r="Q313" s="41" t="str">
        <f aca="false">IF(M313&gt;0,O313-G313,"-")</f>
        <v>-</v>
      </c>
      <c r="R313" s="42" t="str">
        <f aca="false">IF(M313&gt;0,IFERROR(Q313/O313,"-"),"-")</f>
        <v>-</v>
      </c>
      <c r="S313" s="41" t="n">
        <f aca="false">IF(M313&gt;0,ROUND(MAX(G313*1.08,O313*0.97)/100,0)*100,ROUND(G313*1.12/100,0)*100)</f>
        <v>167600</v>
      </c>
      <c r="T313" s="42" t="n">
        <f aca="false">IFERROR((S313-G313)/S313,"-")</f>
        <v>0.107338902147971</v>
      </c>
    </row>
    <row r="314" customFormat="false" ht="15" hidden="false" customHeight="false" outlineLevel="0" collapsed="false">
      <c r="A314" s="8" t="s">
        <v>2332</v>
      </c>
      <c r="B314" s="8" t="s">
        <v>2374</v>
      </c>
      <c r="C314" s="8" t="s">
        <v>2375</v>
      </c>
      <c r="D314" s="8" t="s">
        <v>42</v>
      </c>
      <c r="E314" s="8" t="n">
        <v>200000</v>
      </c>
      <c r="F314" s="38" t="n">
        <f aca="false">IFERROR(VALUE(SUBSTITUTE(SUBSTITUTE('XL INDOFLAZ'!E9,"Rp. ",""),".","")),'XL INDOFLAZ'!E9)</f>
        <v>199340</v>
      </c>
      <c r="G314" s="38" t="n">
        <f aca="false">IFERROR(VALUE(SUBSTITUTE(SUBSTITUTE('XL INDOFLAZ'!F9,"Rp. ",""),".","")),'XL INDOFLAZ'!F9)</f>
        <v>199140</v>
      </c>
      <c r="H314" s="38" t="n">
        <f aca="false">IFERROR(VALUE(SUBSTITUTE(SUBSTITUTE('XL INDOFLAZ'!G9,"Rp. ",""),".","")),'XL INDOFLAZ'!G9)</f>
        <v>198940</v>
      </c>
      <c r="I314" s="8" t="s">
        <v>2625</v>
      </c>
      <c r="J314" s="39"/>
      <c r="K314" s="39"/>
      <c r="L314" s="39"/>
      <c r="M314" s="8" t="n">
        <f aca="false">COUNT(J314:L314)</f>
        <v>0</v>
      </c>
      <c r="N314" s="40" t="str">
        <f aca="false">IF(M314&gt;0,"Ada","Tidak Ada")</f>
        <v>Tidak Ada</v>
      </c>
      <c r="O314" s="41" t="str">
        <f aca="false">IF(M314&gt;0,MIN(J314:L314),"-")</f>
        <v>-</v>
      </c>
      <c r="P314" s="41" t="str">
        <f aca="false">IF(M314&gt;0,AVERAGE(J314:L314),"-")</f>
        <v>-</v>
      </c>
      <c r="Q314" s="41" t="str">
        <f aca="false">IF(M314&gt;0,O314-G314,"-")</f>
        <v>-</v>
      </c>
      <c r="R314" s="42" t="str">
        <f aca="false">IF(M314&gt;0,IFERROR(Q314/O314,"-"),"-")</f>
        <v>-</v>
      </c>
      <c r="S314" s="41" t="n">
        <f aca="false">IF(M314&gt;0,ROUND(MAX(G314*1.08,O314*0.97)/100,0)*100,ROUND(G314*1.12/100,0)*100)</f>
        <v>223000</v>
      </c>
      <c r="T314" s="42" t="n">
        <f aca="false">IFERROR((S314-G314)/S314,"-")</f>
        <v>0.106995515695067</v>
      </c>
    </row>
    <row r="315" customFormat="false" ht="15" hidden="false" customHeight="false" outlineLevel="0" collapsed="false">
      <c r="A315" s="8" t="s">
        <v>2332</v>
      </c>
      <c r="B315" s="8" t="s">
        <v>2380</v>
      </c>
      <c r="C315" s="8" t="s">
        <v>2381</v>
      </c>
      <c r="D315" s="8" t="s">
        <v>42</v>
      </c>
      <c r="E315" s="8" t="n">
        <v>300000</v>
      </c>
      <c r="F315" s="38" t="n">
        <f aca="false">IFERROR(VALUE(SUBSTITUTE(SUBSTITUTE('XL INDOFLAZ'!E10,"Rp. ",""),".","")),'XL INDOFLAZ'!E10)</f>
        <v>299100</v>
      </c>
      <c r="G315" s="38" t="n">
        <f aca="false">IFERROR(VALUE(SUBSTITUTE(SUBSTITUTE('XL INDOFLAZ'!F10,"Rp. ",""),".","")),'XL INDOFLAZ'!F10)</f>
        <v>298900</v>
      </c>
      <c r="H315" s="38" t="n">
        <f aca="false">IFERROR(VALUE(SUBSTITUTE(SUBSTITUTE('XL INDOFLAZ'!G10,"Rp. ",""),".","")),'XL INDOFLAZ'!G10)</f>
        <v>298700</v>
      </c>
      <c r="I315" s="8" t="s">
        <v>2625</v>
      </c>
      <c r="J315" s="39"/>
      <c r="K315" s="39"/>
      <c r="L315" s="39"/>
      <c r="M315" s="8" t="n">
        <f aca="false">COUNT(J315:L315)</f>
        <v>0</v>
      </c>
      <c r="N315" s="40" t="str">
        <f aca="false">IF(M315&gt;0,"Ada","Tidak Ada")</f>
        <v>Tidak Ada</v>
      </c>
      <c r="O315" s="41" t="str">
        <f aca="false">IF(M315&gt;0,MIN(J315:L315),"-")</f>
        <v>-</v>
      </c>
      <c r="P315" s="41" t="str">
        <f aca="false">IF(M315&gt;0,AVERAGE(J315:L315),"-")</f>
        <v>-</v>
      </c>
      <c r="Q315" s="41" t="str">
        <f aca="false">IF(M315&gt;0,O315-G315,"-")</f>
        <v>-</v>
      </c>
      <c r="R315" s="42" t="str">
        <f aca="false">IF(M315&gt;0,IFERROR(Q315/O315,"-"),"-")</f>
        <v>-</v>
      </c>
      <c r="S315" s="41" t="n">
        <f aca="false">IF(M315&gt;0,ROUND(MAX(G315*1.08,O315*0.97)/100,0)*100,ROUND(G315*1.12/100,0)*100)</f>
        <v>334800</v>
      </c>
      <c r="T315" s="42" t="n">
        <f aca="false">IFERROR((S315-G315)/S315,"-")</f>
        <v>0.107228195937873</v>
      </c>
    </row>
    <row r="316" customFormat="false" ht="15" hidden="false" customHeight="false" outlineLevel="0" collapsed="false">
      <c r="A316" s="8" t="s">
        <v>2332</v>
      </c>
      <c r="B316" s="8" t="s">
        <v>2386</v>
      </c>
      <c r="C316" s="8" t="s">
        <v>2387</v>
      </c>
      <c r="D316" s="8" t="s">
        <v>42</v>
      </c>
      <c r="E316" s="8" t="n">
        <v>500000</v>
      </c>
      <c r="F316" s="38" t="n">
        <f aca="false">IFERROR(VALUE(SUBSTITUTE(SUBSTITUTE('XL INDOFLAZ'!E11,"Rp. ",""),".","")),'XL INDOFLAZ'!E11)</f>
        <v>498150</v>
      </c>
      <c r="G316" s="38" t="n">
        <f aca="false">IFERROR(VALUE(SUBSTITUTE(SUBSTITUTE('XL INDOFLAZ'!F11,"Rp. ",""),".","")),'XL INDOFLAZ'!F11)</f>
        <v>497950</v>
      </c>
      <c r="H316" s="38" t="n">
        <f aca="false">IFERROR(VALUE(SUBSTITUTE(SUBSTITUTE('XL INDOFLAZ'!G11,"Rp. ",""),".","")),'XL INDOFLAZ'!G11)</f>
        <v>497750</v>
      </c>
      <c r="I316" s="8" t="s">
        <v>2625</v>
      </c>
      <c r="J316" s="39"/>
      <c r="K316" s="39"/>
      <c r="L316" s="39"/>
      <c r="M316" s="8" t="n">
        <f aca="false">COUNT(J316:L316)</f>
        <v>0</v>
      </c>
      <c r="N316" s="40" t="str">
        <f aca="false">IF(M316&gt;0,"Ada","Tidak Ada")</f>
        <v>Tidak Ada</v>
      </c>
      <c r="O316" s="41" t="str">
        <f aca="false">IF(M316&gt;0,MIN(J316:L316),"-")</f>
        <v>-</v>
      </c>
      <c r="P316" s="41" t="str">
        <f aca="false">IF(M316&gt;0,AVERAGE(J316:L316),"-")</f>
        <v>-</v>
      </c>
      <c r="Q316" s="41" t="str">
        <f aca="false">IF(M316&gt;0,O316-G316,"-")</f>
        <v>-</v>
      </c>
      <c r="R316" s="42" t="str">
        <f aca="false">IF(M316&gt;0,IFERROR(Q316/O316,"-"),"-")</f>
        <v>-</v>
      </c>
      <c r="S316" s="41" t="n">
        <f aca="false">IF(M316&gt;0,ROUND(MAX(G316*1.08,O316*0.97)/100,0)*100,ROUND(G316*1.12/100,0)*100)</f>
        <v>557700</v>
      </c>
      <c r="T316" s="42" t="n">
        <f aca="false">IFERROR((S316-G316)/S316,"-")</f>
        <v>0.107136453290299</v>
      </c>
    </row>
    <row r="317" customFormat="false" ht="15" hidden="false" customHeight="false" outlineLevel="0" collapsed="false">
      <c r="A317" s="8" t="s">
        <v>2332</v>
      </c>
      <c r="B317" s="8" t="s">
        <v>2392</v>
      </c>
      <c r="C317" s="8" t="s">
        <v>2393</v>
      </c>
      <c r="D317" s="8" t="s">
        <v>42</v>
      </c>
      <c r="E317" s="8" t="n">
        <v>1000000</v>
      </c>
      <c r="F317" s="38" t="n">
        <f aca="false">IFERROR(VALUE(SUBSTITUTE(SUBSTITUTE('XL INDOFLAZ'!E12,"Rp. ",""),".","")),'XL INDOFLAZ'!E12)</f>
        <v>993625</v>
      </c>
      <c r="G317" s="38" t="n">
        <f aca="false">IFERROR(VALUE(SUBSTITUTE(SUBSTITUTE('XL INDOFLAZ'!F12,"Rp. ",""),".","")),'XL INDOFLAZ'!F12)</f>
        <v>993425</v>
      </c>
      <c r="H317" s="38" t="n">
        <f aca="false">IFERROR(VALUE(SUBSTITUTE(SUBSTITUTE('XL INDOFLAZ'!G12,"Rp. ",""),".","")),'XL INDOFLAZ'!G12)</f>
        <v>993225</v>
      </c>
      <c r="I317" s="8" t="s">
        <v>2625</v>
      </c>
      <c r="J317" s="39"/>
      <c r="K317" s="39"/>
      <c r="L317" s="39"/>
      <c r="M317" s="8" t="n">
        <f aca="false">COUNT(J317:L317)</f>
        <v>0</v>
      </c>
      <c r="N317" s="40" t="str">
        <f aca="false">IF(M317&gt;0,"Ada","Tidak Ada")</f>
        <v>Tidak Ada</v>
      </c>
      <c r="O317" s="41" t="str">
        <f aca="false">IF(M317&gt;0,MIN(J317:L317),"-")</f>
        <v>-</v>
      </c>
      <c r="P317" s="41" t="str">
        <f aca="false">IF(M317&gt;0,AVERAGE(J317:L317),"-")</f>
        <v>-</v>
      </c>
      <c r="Q317" s="41" t="str">
        <f aca="false">IF(M317&gt;0,O317-G317,"-")</f>
        <v>-</v>
      </c>
      <c r="R317" s="42" t="str">
        <f aca="false">IF(M317&gt;0,IFERROR(Q317/O317,"-"),"-")</f>
        <v>-</v>
      </c>
      <c r="S317" s="41" t="n">
        <f aca="false">IF(M317&gt;0,ROUND(MAX(G317*1.08,O317*0.97)/100,0)*100,ROUND(G317*1.12/100,0)*100)</f>
        <v>1112600</v>
      </c>
      <c r="T317" s="42" t="n">
        <f aca="false">IFERROR((S317-G317)/S317,"-")</f>
        <v>0.10711396728384</v>
      </c>
    </row>
    <row r="318" customFormat="false" ht="15" hidden="false" customHeight="false" outlineLevel="0" collapsed="false">
      <c r="A318" s="8" t="s">
        <v>2405</v>
      </c>
      <c r="B318" s="8" t="s">
        <v>2404</v>
      </c>
      <c r="C318" s="8" t="s">
        <v>2406</v>
      </c>
      <c r="D318" s="8" t="s">
        <v>43</v>
      </c>
      <c r="E318" s="8" t="n">
        <v>10000</v>
      </c>
      <c r="F318" s="38" t="n">
        <f aca="false">IFERROR(VALUE(SUBSTITUTE(SUBSTITUTE('TRI INDOFLAZ'!E2,"Rp. ",""),".","")),'TRI INDOFLAZ'!E2)</f>
        <v>10857</v>
      </c>
      <c r="G318" s="38" t="n">
        <f aca="false">IFERROR(VALUE(SUBSTITUTE(SUBSTITUTE('TRI INDOFLAZ'!F2,"Rp. ",""),".","")),'TRI INDOFLAZ'!F2)</f>
        <v>10657</v>
      </c>
      <c r="H318" s="38" t="n">
        <f aca="false">IFERROR(VALUE(SUBSTITUTE(SUBSTITUTE('TRI INDOFLAZ'!G2,"Rp. ",""),".","")),'TRI INDOFLAZ'!G2)</f>
        <v>10457</v>
      </c>
      <c r="I318" s="8" t="s">
        <v>2625</v>
      </c>
      <c r="J318" s="39"/>
      <c r="K318" s="39"/>
      <c r="L318" s="39"/>
      <c r="M318" s="8" t="n">
        <f aca="false">COUNT(J318:L318)</f>
        <v>0</v>
      </c>
      <c r="N318" s="40" t="str">
        <f aca="false">IF(M318&gt;0,"Ada","Tidak Ada")</f>
        <v>Tidak Ada</v>
      </c>
      <c r="O318" s="41" t="str">
        <f aca="false">IF(M318&gt;0,MIN(J318:L318),"-")</f>
        <v>-</v>
      </c>
      <c r="P318" s="41" t="str">
        <f aca="false">IF(M318&gt;0,AVERAGE(J318:L318),"-")</f>
        <v>-</v>
      </c>
      <c r="Q318" s="41" t="str">
        <f aca="false">IF(M318&gt;0,O318-G318,"-")</f>
        <v>-</v>
      </c>
      <c r="R318" s="42" t="str">
        <f aca="false">IF(M318&gt;0,IFERROR(Q318/O318,"-"),"-")</f>
        <v>-</v>
      </c>
      <c r="S318" s="41" t="n">
        <f aca="false">IF(M318&gt;0,ROUND(MAX(G318*1.08,O318*0.97)/100,0)*100,ROUND(G318*1.12/100,0)*100)</f>
        <v>11900</v>
      </c>
      <c r="T318" s="42" t="n">
        <f aca="false">IFERROR((S318-G318)/S318,"-")</f>
        <v>0.104453781512605</v>
      </c>
    </row>
    <row r="319" customFormat="false" ht="15" hidden="false" customHeight="false" outlineLevel="0" collapsed="false">
      <c r="A319" s="8" t="s">
        <v>2405</v>
      </c>
      <c r="B319" s="8" t="s">
        <v>2411</v>
      </c>
      <c r="C319" s="8" t="s">
        <v>2412</v>
      </c>
      <c r="D319" s="8" t="s">
        <v>43</v>
      </c>
      <c r="E319" s="8" t="n">
        <v>15000</v>
      </c>
      <c r="F319" s="38" t="n">
        <f aca="false">IFERROR(VALUE(SUBSTITUTE(SUBSTITUTE('TRI INDOFLAZ'!E3,"Rp. ",""),".","")),'TRI INDOFLAZ'!E3)</f>
        <v>15333</v>
      </c>
      <c r="G319" s="38" t="n">
        <f aca="false">IFERROR(VALUE(SUBSTITUTE(SUBSTITUTE('TRI INDOFLAZ'!F3,"Rp. ",""),".","")),'TRI INDOFLAZ'!F3)</f>
        <v>15133</v>
      </c>
      <c r="H319" s="38" t="n">
        <f aca="false">IFERROR(VALUE(SUBSTITUTE(SUBSTITUTE('TRI INDOFLAZ'!G3,"Rp. ",""),".","")),'TRI INDOFLAZ'!G3)</f>
        <v>14933</v>
      </c>
      <c r="I319" s="8" t="s">
        <v>2625</v>
      </c>
      <c r="J319" s="39"/>
      <c r="K319" s="39"/>
      <c r="L319" s="39"/>
      <c r="M319" s="8" t="n">
        <f aca="false">COUNT(J319:L319)</f>
        <v>0</v>
      </c>
      <c r="N319" s="40" t="str">
        <f aca="false">IF(M319&gt;0,"Ada","Tidak Ada")</f>
        <v>Tidak Ada</v>
      </c>
      <c r="O319" s="41" t="str">
        <f aca="false">IF(M319&gt;0,MIN(J319:L319),"-")</f>
        <v>-</v>
      </c>
      <c r="P319" s="41" t="str">
        <f aca="false">IF(M319&gt;0,AVERAGE(J319:L319),"-")</f>
        <v>-</v>
      </c>
      <c r="Q319" s="41" t="str">
        <f aca="false">IF(M319&gt;0,O319-G319,"-")</f>
        <v>-</v>
      </c>
      <c r="R319" s="42" t="str">
        <f aca="false">IF(M319&gt;0,IFERROR(Q319/O319,"-"),"-")</f>
        <v>-</v>
      </c>
      <c r="S319" s="41" t="n">
        <f aca="false">IF(M319&gt;0,ROUND(MAX(G319*1.08,O319*0.97)/100,0)*100,ROUND(G319*1.12/100,0)*100)</f>
        <v>16900</v>
      </c>
      <c r="T319" s="42" t="n">
        <f aca="false">IFERROR((S319-G319)/S319,"-")</f>
        <v>0.104556213017751</v>
      </c>
    </row>
    <row r="320" customFormat="false" ht="15" hidden="false" customHeight="false" outlineLevel="0" collapsed="false">
      <c r="A320" s="8" t="s">
        <v>2405</v>
      </c>
      <c r="B320" s="8" t="s">
        <v>2417</v>
      </c>
      <c r="C320" s="8" t="s">
        <v>2418</v>
      </c>
      <c r="D320" s="8" t="s">
        <v>43</v>
      </c>
      <c r="E320" s="8" t="n">
        <v>20000</v>
      </c>
      <c r="F320" s="38" t="n">
        <f aca="false">IFERROR(VALUE(SUBSTITUTE(SUBSTITUTE('TRI INDOFLAZ'!E4,"Rp. ",""),".","")),'TRI INDOFLAZ'!E4)</f>
        <v>20150</v>
      </c>
      <c r="G320" s="38" t="n">
        <f aca="false">IFERROR(VALUE(SUBSTITUTE(SUBSTITUTE('TRI INDOFLAZ'!F4,"Rp. ",""),".","")),'TRI INDOFLAZ'!F4)</f>
        <v>19950</v>
      </c>
      <c r="H320" s="38" t="n">
        <f aca="false">IFERROR(VALUE(SUBSTITUTE(SUBSTITUTE('TRI INDOFLAZ'!G4,"Rp. ",""),".","")),'TRI INDOFLAZ'!G4)</f>
        <v>19750</v>
      </c>
      <c r="I320" s="8" t="s">
        <v>2625</v>
      </c>
      <c r="J320" s="39"/>
      <c r="K320" s="39"/>
      <c r="L320" s="39"/>
      <c r="M320" s="8" t="n">
        <f aca="false">COUNT(J320:L320)</f>
        <v>0</v>
      </c>
      <c r="N320" s="40" t="str">
        <f aca="false">IF(M320&gt;0,"Ada","Tidak Ada")</f>
        <v>Tidak Ada</v>
      </c>
      <c r="O320" s="41" t="str">
        <f aca="false">IF(M320&gt;0,MIN(J320:L320),"-")</f>
        <v>-</v>
      </c>
      <c r="P320" s="41" t="str">
        <f aca="false">IF(M320&gt;0,AVERAGE(J320:L320),"-")</f>
        <v>-</v>
      </c>
      <c r="Q320" s="41" t="str">
        <f aca="false">IF(M320&gt;0,O320-G320,"-")</f>
        <v>-</v>
      </c>
      <c r="R320" s="42" t="str">
        <f aca="false">IF(M320&gt;0,IFERROR(Q320/O320,"-"),"-")</f>
        <v>-</v>
      </c>
      <c r="S320" s="41" t="n">
        <f aca="false">IF(M320&gt;0,ROUND(MAX(G320*1.08,O320*0.97)/100,0)*100,ROUND(G320*1.12/100,0)*100)</f>
        <v>22300</v>
      </c>
      <c r="T320" s="42" t="n">
        <f aca="false">IFERROR((S320-G320)/S320,"-")</f>
        <v>0.105381165919283</v>
      </c>
    </row>
    <row r="321" customFormat="false" ht="15" hidden="false" customHeight="false" outlineLevel="0" collapsed="false">
      <c r="A321" s="8" t="s">
        <v>2405</v>
      </c>
      <c r="B321" s="8" t="s">
        <v>2423</v>
      </c>
      <c r="C321" s="8" t="s">
        <v>2424</v>
      </c>
      <c r="D321" s="8" t="s">
        <v>43</v>
      </c>
      <c r="E321" s="8" t="n">
        <v>25000</v>
      </c>
      <c r="F321" s="38" t="n">
        <f aca="false">IFERROR(VALUE(SUBSTITUTE(SUBSTITUTE('TRI INDOFLAZ'!E5,"Rp. ",""),".","")),'TRI INDOFLAZ'!E5)</f>
        <v>25244</v>
      </c>
      <c r="G321" s="38" t="n">
        <f aca="false">IFERROR(VALUE(SUBSTITUTE(SUBSTITUTE('TRI INDOFLAZ'!F5,"Rp. ",""),".","")),'TRI INDOFLAZ'!F5)</f>
        <v>25044</v>
      </c>
      <c r="H321" s="38" t="n">
        <f aca="false">IFERROR(VALUE(SUBSTITUTE(SUBSTITUTE('TRI INDOFLAZ'!G5,"Rp. ",""),".","")),'TRI INDOFLAZ'!G5)</f>
        <v>24844</v>
      </c>
      <c r="I321" s="8" t="s">
        <v>2625</v>
      </c>
      <c r="J321" s="39"/>
      <c r="K321" s="39"/>
      <c r="L321" s="39"/>
      <c r="M321" s="8" t="n">
        <f aca="false">COUNT(J321:L321)</f>
        <v>0</v>
      </c>
      <c r="N321" s="40" t="str">
        <f aca="false">IF(M321&gt;0,"Ada","Tidak Ada")</f>
        <v>Tidak Ada</v>
      </c>
      <c r="O321" s="41" t="str">
        <f aca="false">IF(M321&gt;0,MIN(J321:L321),"-")</f>
        <v>-</v>
      </c>
      <c r="P321" s="41" t="str">
        <f aca="false">IF(M321&gt;0,AVERAGE(J321:L321),"-")</f>
        <v>-</v>
      </c>
      <c r="Q321" s="41" t="str">
        <f aca="false">IF(M321&gt;0,O321-G321,"-")</f>
        <v>-</v>
      </c>
      <c r="R321" s="42" t="str">
        <f aca="false">IF(M321&gt;0,IFERROR(Q321/O321,"-"),"-")</f>
        <v>-</v>
      </c>
      <c r="S321" s="41" t="n">
        <f aca="false">IF(M321&gt;0,ROUND(MAX(G321*1.08,O321*0.97)/100,0)*100,ROUND(G321*1.12/100,0)*100)</f>
        <v>28000</v>
      </c>
      <c r="T321" s="42" t="n">
        <f aca="false">IFERROR((S321-G321)/S321,"-")</f>
        <v>0.105571428571429</v>
      </c>
    </row>
    <row r="322" customFormat="false" ht="15" hidden="false" customHeight="false" outlineLevel="0" collapsed="false">
      <c r="A322" s="8" t="s">
        <v>2405</v>
      </c>
      <c r="B322" s="8" t="s">
        <v>2429</v>
      </c>
      <c r="C322" s="8" t="s">
        <v>2430</v>
      </c>
      <c r="D322" s="8" t="s">
        <v>43</v>
      </c>
      <c r="E322" s="8" t="n">
        <v>30000</v>
      </c>
      <c r="F322" s="38" t="n">
        <f aca="false">IFERROR(VALUE(SUBSTITUTE(SUBSTITUTE('TRI INDOFLAZ'!E6,"Rp. ",""),".","")),'TRI INDOFLAZ'!E6)</f>
        <v>30025</v>
      </c>
      <c r="G322" s="38" t="n">
        <f aca="false">IFERROR(VALUE(SUBSTITUTE(SUBSTITUTE('TRI INDOFLAZ'!F6,"Rp. ",""),".","")),'TRI INDOFLAZ'!F6)</f>
        <v>29825</v>
      </c>
      <c r="H322" s="38" t="n">
        <f aca="false">IFERROR(VALUE(SUBSTITUTE(SUBSTITUTE('TRI INDOFLAZ'!G6,"Rp. ",""),".","")),'TRI INDOFLAZ'!G6)</f>
        <v>29625</v>
      </c>
      <c r="I322" s="8" t="s">
        <v>2625</v>
      </c>
      <c r="J322" s="39"/>
      <c r="K322" s="39"/>
      <c r="L322" s="39"/>
      <c r="M322" s="8" t="n">
        <f aca="false">COUNT(J322:L322)</f>
        <v>0</v>
      </c>
      <c r="N322" s="40" t="str">
        <f aca="false">IF(M322&gt;0,"Ada","Tidak Ada")</f>
        <v>Tidak Ada</v>
      </c>
      <c r="O322" s="41" t="str">
        <f aca="false">IF(M322&gt;0,MIN(J322:L322),"-")</f>
        <v>-</v>
      </c>
      <c r="P322" s="41" t="str">
        <f aca="false">IF(M322&gt;0,AVERAGE(J322:L322),"-")</f>
        <v>-</v>
      </c>
      <c r="Q322" s="41" t="str">
        <f aca="false">IF(M322&gt;0,O322-G322,"-")</f>
        <v>-</v>
      </c>
      <c r="R322" s="42" t="str">
        <f aca="false">IF(M322&gt;0,IFERROR(Q322/O322,"-"),"-")</f>
        <v>-</v>
      </c>
      <c r="S322" s="41" t="n">
        <f aca="false">IF(M322&gt;0,ROUND(MAX(G322*1.08,O322*0.97)/100,0)*100,ROUND(G322*1.12/100,0)*100)</f>
        <v>33400</v>
      </c>
      <c r="T322" s="42" t="n">
        <f aca="false">IFERROR((S322-G322)/S322,"-")</f>
        <v>0.107035928143713</v>
      </c>
    </row>
    <row r="323" customFormat="false" ht="15" hidden="false" customHeight="false" outlineLevel="0" collapsed="false">
      <c r="A323" s="8" t="s">
        <v>2405</v>
      </c>
      <c r="B323" s="8" t="s">
        <v>2431</v>
      </c>
      <c r="C323" s="8" t="s">
        <v>2432</v>
      </c>
      <c r="D323" s="8" t="s">
        <v>43</v>
      </c>
      <c r="E323" s="8" t="n">
        <v>40000</v>
      </c>
      <c r="F323" s="38" t="n">
        <f aca="false">IFERROR(VALUE(SUBSTITUTE(SUBSTITUTE('TRI INDOFLAZ'!E7,"Rp. ",""),".","")),'TRI INDOFLAZ'!E7)</f>
        <v>40105</v>
      </c>
      <c r="G323" s="38" t="n">
        <f aca="false">IFERROR(VALUE(SUBSTITUTE(SUBSTITUTE('TRI INDOFLAZ'!F7,"Rp. ",""),".","")),'TRI INDOFLAZ'!F7)</f>
        <v>39905</v>
      </c>
      <c r="H323" s="38" t="n">
        <f aca="false">IFERROR(VALUE(SUBSTITUTE(SUBSTITUTE('TRI INDOFLAZ'!G7,"Rp. ",""),".","")),'TRI INDOFLAZ'!G7)</f>
        <v>39705</v>
      </c>
      <c r="I323" s="8" t="s">
        <v>2625</v>
      </c>
      <c r="J323" s="39"/>
      <c r="K323" s="39"/>
      <c r="L323" s="39"/>
      <c r="M323" s="8" t="n">
        <f aca="false">COUNT(J323:L323)</f>
        <v>0</v>
      </c>
      <c r="N323" s="40" t="str">
        <f aca="false">IF(M323&gt;0,"Ada","Tidak Ada")</f>
        <v>Tidak Ada</v>
      </c>
      <c r="O323" s="41" t="str">
        <f aca="false">IF(M323&gt;0,MIN(J323:L323),"-")</f>
        <v>-</v>
      </c>
      <c r="P323" s="41" t="str">
        <f aca="false">IF(M323&gt;0,AVERAGE(J323:L323),"-")</f>
        <v>-</v>
      </c>
      <c r="Q323" s="41" t="str">
        <f aca="false">IF(M323&gt;0,O323-G323,"-")</f>
        <v>-</v>
      </c>
      <c r="R323" s="42" t="str">
        <f aca="false">IF(M323&gt;0,IFERROR(Q323/O323,"-"),"-")</f>
        <v>-</v>
      </c>
      <c r="S323" s="41" t="n">
        <f aca="false">IF(M323&gt;0,ROUND(MAX(G323*1.08,O323*0.97)/100,0)*100,ROUND(G323*1.12/100,0)*100)</f>
        <v>44700</v>
      </c>
      <c r="T323" s="42" t="n">
        <f aca="false">IFERROR((S323-G323)/S323,"-")</f>
        <v>0.107270693512304</v>
      </c>
    </row>
    <row r="324" customFormat="false" ht="15" hidden="false" customHeight="false" outlineLevel="0" collapsed="false">
      <c r="A324" s="8" t="s">
        <v>2405</v>
      </c>
      <c r="B324" s="8" t="s">
        <v>2437</v>
      </c>
      <c r="C324" s="8" t="s">
        <v>2438</v>
      </c>
      <c r="D324" s="8" t="s">
        <v>43</v>
      </c>
      <c r="E324" s="8" t="n">
        <v>50000</v>
      </c>
      <c r="F324" s="38" t="n">
        <f aca="false">IFERROR(VALUE(SUBSTITUTE(SUBSTITUTE('TRI INDOFLAZ'!E8,"Rp. ",""),".","")),'TRI INDOFLAZ'!E8)</f>
        <v>48885</v>
      </c>
      <c r="G324" s="38" t="n">
        <f aca="false">IFERROR(VALUE(SUBSTITUTE(SUBSTITUTE('TRI INDOFLAZ'!F8,"Rp. ",""),".","")),'TRI INDOFLAZ'!F8)</f>
        <v>48685</v>
      </c>
      <c r="H324" s="38" t="n">
        <f aca="false">IFERROR(VALUE(SUBSTITUTE(SUBSTITUTE('TRI INDOFLAZ'!G8,"Rp. ",""),".","")),'TRI INDOFLAZ'!G8)</f>
        <v>48485</v>
      </c>
      <c r="I324" s="8" t="s">
        <v>2625</v>
      </c>
      <c r="J324" s="39"/>
      <c r="K324" s="39"/>
      <c r="L324" s="39"/>
      <c r="M324" s="8" t="n">
        <f aca="false">COUNT(J324:L324)</f>
        <v>0</v>
      </c>
      <c r="N324" s="40" t="str">
        <f aca="false">IF(M324&gt;0,"Ada","Tidak Ada")</f>
        <v>Tidak Ada</v>
      </c>
      <c r="O324" s="41" t="str">
        <f aca="false">IF(M324&gt;0,MIN(J324:L324),"-")</f>
        <v>-</v>
      </c>
      <c r="P324" s="41" t="str">
        <f aca="false">IF(M324&gt;0,AVERAGE(J324:L324),"-")</f>
        <v>-</v>
      </c>
      <c r="Q324" s="41" t="str">
        <f aca="false">IF(M324&gt;0,O324-G324,"-")</f>
        <v>-</v>
      </c>
      <c r="R324" s="42" t="str">
        <f aca="false">IF(M324&gt;0,IFERROR(Q324/O324,"-"),"-")</f>
        <v>-</v>
      </c>
      <c r="S324" s="41" t="n">
        <f aca="false">IF(M324&gt;0,ROUND(MAX(G324*1.08,O324*0.97)/100,0)*100,ROUND(G324*1.12/100,0)*100)</f>
        <v>54500</v>
      </c>
      <c r="T324" s="42" t="n">
        <f aca="false">IFERROR((S324-G324)/S324,"-")</f>
        <v>0.106697247706422</v>
      </c>
    </row>
    <row r="325" customFormat="false" ht="15" hidden="false" customHeight="false" outlineLevel="0" collapsed="false">
      <c r="A325" s="8" t="s">
        <v>2405</v>
      </c>
      <c r="B325" s="8" t="s">
        <v>2442</v>
      </c>
      <c r="C325" s="8" t="s">
        <v>2443</v>
      </c>
      <c r="D325" s="8" t="s">
        <v>43</v>
      </c>
      <c r="E325" s="8" t="n">
        <v>75000</v>
      </c>
      <c r="F325" s="38" t="n">
        <f aca="false">IFERROR(VALUE(SUBSTITUTE(SUBSTITUTE('TRI INDOFLAZ'!E9,"Rp. ",""),".","")),'TRI INDOFLAZ'!E9)</f>
        <v>73575</v>
      </c>
      <c r="G325" s="38" t="n">
        <f aca="false">IFERROR(VALUE(SUBSTITUTE(SUBSTITUTE('TRI INDOFLAZ'!F9,"Rp. ",""),".","")),'TRI INDOFLAZ'!F9)</f>
        <v>73375</v>
      </c>
      <c r="H325" s="38" t="n">
        <f aca="false">IFERROR(VALUE(SUBSTITUTE(SUBSTITUTE('TRI INDOFLAZ'!G9,"Rp. ",""),".","")),'TRI INDOFLAZ'!G9)</f>
        <v>73175</v>
      </c>
      <c r="I325" s="8" t="s">
        <v>2625</v>
      </c>
      <c r="J325" s="39"/>
      <c r="K325" s="39"/>
      <c r="L325" s="39"/>
      <c r="M325" s="8" t="n">
        <f aca="false">COUNT(J325:L325)</f>
        <v>0</v>
      </c>
      <c r="N325" s="40" t="str">
        <f aca="false">IF(M325&gt;0,"Ada","Tidak Ada")</f>
        <v>Tidak Ada</v>
      </c>
      <c r="O325" s="41" t="str">
        <f aca="false">IF(M325&gt;0,MIN(J325:L325),"-")</f>
        <v>-</v>
      </c>
      <c r="P325" s="41" t="str">
        <f aca="false">IF(M325&gt;0,AVERAGE(J325:L325),"-")</f>
        <v>-</v>
      </c>
      <c r="Q325" s="41" t="str">
        <f aca="false">IF(M325&gt;0,O325-G325,"-")</f>
        <v>-</v>
      </c>
      <c r="R325" s="42" t="str">
        <f aca="false">IF(M325&gt;0,IFERROR(Q325/O325,"-"),"-")</f>
        <v>-</v>
      </c>
      <c r="S325" s="41" t="n">
        <f aca="false">IF(M325&gt;0,ROUND(MAX(G325*1.08,O325*0.97)/100,0)*100,ROUND(G325*1.12/100,0)*100)</f>
        <v>82200</v>
      </c>
      <c r="T325" s="42" t="n">
        <f aca="false">IFERROR((S325-G325)/S325,"-")</f>
        <v>0.107360097323601</v>
      </c>
    </row>
    <row r="326" customFormat="false" ht="15" hidden="false" customHeight="false" outlineLevel="0" collapsed="false">
      <c r="A326" s="8" t="s">
        <v>2405</v>
      </c>
      <c r="B326" s="8" t="s">
        <v>2448</v>
      </c>
      <c r="C326" s="8" t="s">
        <v>2449</v>
      </c>
      <c r="D326" s="8" t="s">
        <v>43</v>
      </c>
      <c r="E326" s="8" t="n">
        <v>80000</v>
      </c>
      <c r="F326" s="38" t="n">
        <f aca="false">IFERROR(VALUE(SUBSTITUTE(SUBSTITUTE('TRI INDOFLAZ'!E10,"Rp. ",""),".","")),'TRI INDOFLAZ'!E10)</f>
        <v>76785</v>
      </c>
      <c r="G326" s="38" t="n">
        <f aca="false">IFERROR(VALUE(SUBSTITUTE(SUBSTITUTE('TRI INDOFLAZ'!F10,"Rp. ",""),".","")),'TRI INDOFLAZ'!F10)</f>
        <v>76585</v>
      </c>
      <c r="H326" s="38" t="n">
        <f aca="false">IFERROR(VALUE(SUBSTITUTE(SUBSTITUTE('TRI INDOFLAZ'!G10,"Rp. ",""),".","")),'TRI INDOFLAZ'!G10)</f>
        <v>76385</v>
      </c>
      <c r="I326" s="8" t="s">
        <v>2625</v>
      </c>
      <c r="J326" s="39"/>
      <c r="K326" s="39"/>
      <c r="L326" s="39"/>
      <c r="M326" s="8" t="n">
        <f aca="false">COUNT(J326:L326)</f>
        <v>0</v>
      </c>
      <c r="N326" s="40" t="str">
        <f aca="false">IF(M326&gt;0,"Ada","Tidak Ada")</f>
        <v>Tidak Ada</v>
      </c>
      <c r="O326" s="41" t="str">
        <f aca="false">IF(M326&gt;0,MIN(J326:L326),"-")</f>
        <v>-</v>
      </c>
      <c r="P326" s="41" t="str">
        <f aca="false">IF(M326&gt;0,AVERAGE(J326:L326),"-")</f>
        <v>-</v>
      </c>
      <c r="Q326" s="41" t="str">
        <f aca="false">IF(M326&gt;0,O326-G326,"-")</f>
        <v>-</v>
      </c>
      <c r="R326" s="42" t="str">
        <f aca="false">IF(M326&gt;0,IFERROR(Q326/O326,"-"),"-")</f>
        <v>-</v>
      </c>
      <c r="S326" s="41" t="n">
        <f aca="false">IF(M326&gt;0,ROUND(MAX(G326*1.08,O326*0.97)/100,0)*100,ROUND(G326*1.12/100,0)*100)</f>
        <v>85800</v>
      </c>
      <c r="T326" s="42" t="n">
        <f aca="false">IFERROR((S326-G326)/S326,"-")</f>
        <v>0.107400932400932</v>
      </c>
    </row>
    <row r="327" customFormat="false" ht="15" hidden="false" customHeight="false" outlineLevel="0" collapsed="false">
      <c r="A327" s="8" t="s">
        <v>2405</v>
      </c>
      <c r="B327" s="8" t="s">
        <v>2454</v>
      </c>
      <c r="C327" s="8" t="s">
        <v>2455</v>
      </c>
      <c r="D327" s="8" t="s">
        <v>43</v>
      </c>
      <c r="E327" s="8" t="n">
        <v>100000</v>
      </c>
      <c r="F327" s="38" t="n">
        <f aca="false">IFERROR(VALUE(SUBSTITUTE(SUBSTITUTE('TRI INDOFLAZ'!E11,"Rp. ",""),".","")),'TRI INDOFLAZ'!E11)</f>
        <v>97495</v>
      </c>
      <c r="G327" s="38" t="n">
        <f aca="false">IFERROR(VALUE(SUBSTITUTE(SUBSTITUTE('TRI INDOFLAZ'!F11,"Rp. ",""),".","")),'TRI INDOFLAZ'!F11)</f>
        <v>97295</v>
      </c>
      <c r="H327" s="38" t="n">
        <f aca="false">IFERROR(VALUE(SUBSTITUTE(SUBSTITUTE('TRI INDOFLAZ'!G11,"Rp. ",""),".","")),'TRI INDOFLAZ'!G11)</f>
        <v>97095</v>
      </c>
      <c r="I327" s="8" t="s">
        <v>2625</v>
      </c>
      <c r="J327" s="39"/>
      <c r="K327" s="39"/>
      <c r="L327" s="39"/>
      <c r="M327" s="8" t="n">
        <f aca="false">COUNT(J327:L327)</f>
        <v>0</v>
      </c>
      <c r="N327" s="40" t="str">
        <f aca="false">IF(M327&gt;0,"Ada","Tidak Ada")</f>
        <v>Tidak Ada</v>
      </c>
      <c r="O327" s="41" t="str">
        <f aca="false">IF(M327&gt;0,MIN(J327:L327),"-")</f>
        <v>-</v>
      </c>
      <c r="P327" s="41" t="str">
        <f aca="false">IF(M327&gt;0,AVERAGE(J327:L327),"-")</f>
        <v>-</v>
      </c>
      <c r="Q327" s="41" t="str">
        <f aca="false">IF(M327&gt;0,O327-G327,"-")</f>
        <v>-</v>
      </c>
      <c r="R327" s="42" t="str">
        <f aca="false">IF(M327&gt;0,IFERROR(Q327/O327,"-"),"-")</f>
        <v>-</v>
      </c>
      <c r="S327" s="41" t="n">
        <f aca="false">IF(M327&gt;0,ROUND(MAX(G327*1.08,O327*0.97)/100,0)*100,ROUND(G327*1.12/100,0)*100)</f>
        <v>109000</v>
      </c>
      <c r="T327" s="42" t="n">
        <f aca="false">IFERROR((S327-G327)/S327,"-")</f>
        <v>0.107385321100917</v>
      </c>
    </row>
    <row r="328" customFormat="false" ht="15" hidden="false" customHeight="false" outlineLevel="0" collapsed="false">
      <c r="A328" s="8" t="s">
        <v>2405</v>
      </c>
      <c r="B328" s="8" t="s">
        <v>2460</v>
      </c>
      <c r="C328" s="8" t="s">
        <v>2461</v>
      </c>
      <c r="D328" s="8" t="s">
        <v>43</v>
      </c>
      <c r="E328" s="8" t="n">
        <v>150000</v>
      </c>
      <c r="F328" s="38" t="n">
        <f aca="false">IFERROR(VALUE(SUBSTITUTE(SUBSTITUTE('TRI INDOFLAZ'!E12,"Rp. ",""),".","")),'TRI INDOFLAZ'!E12)</f>
        <v>148166</v>
      </c>
      <c r="G328" s="38" t="n">
        <f aca="false">IFERROR(VALUE(SUBSTITUTE(SUBSTITUTE('TRI INDOFLAZ'!F12,"Rp. ",""),".","")),'TRI INDOFLAZ'!F12)</f>
        <v>147966</v>
      </c>
      <c r="H328" s="38" t="n">
        <f aca="false">IFERROR(VALUE(SUBSTITUTE(SUBSTITUTE('TRI INDOFLAZ'!G12,"Rp. ",""),".","")),'TRI INDOFLAZ'!G12)</f>
        <v>147766</v>
      </c>
      <c r="I328" s="8" t="s">
        <v>2625</v>
      </c>
      <c r="J328" s="39"/>
      <c r="K328" s="39"/>
      <c r="L328" s="39"/>
      <c r="M328" s="8" t="n">
        <f aca="false">COUNT(J328:L328)</f>
        <v>0</v>
      </c>
      <c r="N328" s="40" t="str">
        <f aca="false">IF(M328&gt;0,"Ada","Tidak Ada")</f>
        <v>Tidak Ada</v>
      </c>
      <c r="O328" s="41" t="str">
        <f aca="false">IF(M328&gt;0,MIN(J328:L328),"-")</f>
        <v>-</v>
      </c>
      <c r="P328" s="41" t="str">
        <f aca="false">IF(M328&gt;0,AVERAGE(J328:L328),"-")</f>
        <v>-</v>
      </c>
      <c r="Q328" s="41" t="str">
        <f aca="false">IF(M328&gt;0,O328-G328,"-")</f>
        <v>-</v>
      </c>
      <c r="R328" s="42" t="str">
        <f aca="false">IF(M328&gt;0,IFERROR(Q328/O328,"-"),"-")</f>
        <v>-</v>
      </c>
      <c r="S328" s="41" t="n">
        <f aca="false">IF(M328&gt;0,ROUND(MAX(G328*1.08,O328*0.97)/100,0)*100,ROUND(G328*1.12/100,0)*100)</f>
        <v>165700</v>
      </c>
      <c r="T328" s="42" t="n">
        <f aca="false">IFERROR((S328-G328)/S328,"-")</f>
        <v>0.107024743512372</v>
      </c>
    </row>
    <row r="329" customFormat="false" ht="15" hidden="false" customHeight="false" outlineLevel="0" collapsed="false">
      <c r="A329" s="8" t="s">
        <v>2405</v>
      </c>
      <c r="B329" s="8" t="s">
        <v>2466</v>
      </c>
      <c r="C329" s="8" t="s">
        <v>2467</v>
      </c>
      <c r="D329" s="8" t="s">
        <v>43</v>
      </c>
      <c r="E329" s="8" t="n">
        <v>200000</v>
      </c>
      <c r="F329" s="38" t="n">
        <f aca="false">IFERROR(VALUE(SUBSTITUTE(SUBSTITUTE('TRI INDOFLAZ'!E13,"Rp. ",""),".","")),'TRI INDOFLAZ'!E13)</f>
        <v>195216</v>
      </c>
      <c r="G329" s="38" t="n">
        <f aca="false">IFERROR(VALUE(SUBSTITUTE(SUBSTITUTE('TRI INDOFLAZ'!F13,"Rp. ",""),".","")),'TRI INDOFLAZ'!F13)</f>
        <v>195016</v>
      </c>
      <c r="H329" s="38" t="n">
        <f aca="false">IFERROR(VALUE(SUBSTITUTE(SUBSTITUTE('TRI INDOFLAZ'!G13,"Rp. ",""),".","")),'TRI INDOFLAZ'!G13)</f>
        <v>194816</v>
      </c>
      <c r="I329" s="8" t="s">
        <v>2625</v>
      </c>
      <c r="J329" s="39"/>
      <c r="K329" s="39"/>
      <c r="L329" s="39"/>
      <c r="M329" s="8" t="n">
        <f aca="false">COUNT(J329:L329)</f>
        <v>0</v>
      </c>
      <c r="N329" s="40" t="str">
        <f aca="false">IF(M329&gt;0,"Ada","Tidak Ada")</f>
        <v>Tidak Ada</v>
      </c>
      <c r="O329" s="41" t="str">
        <f aca="false">IF(M329&gt;0,MIN(J329:L329),"-")</f>
        <v>-</v>
      </c>
      <c r="P329" s="41" t="str">
        <f aca="false">IF(M329&gt;0,AVERAGE(J329:L329),"-")</f>
        <v>-</v>
      </c>
      <c r="Q329" s="41" t="str">
        <f aca="false">IF(M329&gt;0,O329-G329,"-")</f>
        <v>-</v>
      </c>
      <c r="R329" s="42" t="str">
        <f aca="false">IF(M329&gt;0,IFERROR(Q329/O329,"-"),"-")</f>
        <v>-</v>
      </c>
      <c r="S329" s="41" t="n">
        <f aca="false">IF(M329&gt;0,ROUND(MAX(G329*1.08,O329*0.97)/100,0)*100,ROUND(G329*1.12/100,0)*100)</f>
        <v>218400</v>
      </c>
      <c r="T329" s="42" t="n">
        <f aca="false">IFERROR((S329-G329)/S329,"-")</f>
        <v>0.107069597069597</v>
      </c>
    </row>
    <row r="330" customFormat="false" ht="15" hidden="false" customHeight="false" outlineLevel="0" collapsed="false">
      <c r="A330" s="8" t="s">
        <v>2405</v>
      </c>
      <c r="B330" s="8" t="s">
        <v>2472</v>
      </c>
      <c r="C330" s="8" t="s">
        <v>2473</v>
      </c>
      <c r="D330" s="8" t="s">
        <v>43</v>
      </c>
      <c r="E330" s="8" t="n">
        <v>300000</v>
      </c>
      <c r="F330" s="38" t="n">
        <f aca="false">IFERROR(VALUE(SUBSTITUTE(SUBSTITUTE('TRI INDOFLAZ'!E14,"Rp. ",""),".","")),'TRI INDOFLAZ'!E14)</f>
        <v>295316</v>
      </c>
      <c r="G330" s="38" t="n">
        <f aca="false">IFERROR(VALUE(SUBSTITUTE(SUBSTITUTE('TRI INDOFLAZ'!F14,"Rp. ",""),".","")),'TRI INDOFLAZ'!F14)</f>
        <v>295116</v>
      </c>
      <c r="H330" s="38" t="n">
        <f aca="false">IFERROR(VALUE(SUBSTITUTE(SUBSTITUTE('TRI INDOFLAZ'!G14,"Rp. ",""),".","")),'TRI INDOFLAZ'!G14)</f>
        <v>294916</v>
      </c>
      <c r="I330" s="8" t="s">
        <v>2625</v>
      </c>
      <c r="J330" s="39"/>
      <c r="K330" s="39"/>
      <c r="L330" s="39"/>
      <c r="M330" s="8" t="n">
        <f aca="false">COUNT(J330:L330)</f>
        <v>0</v>
      </c>
      <c r="N330" s="40" t="str">
        <f aca="false">IF(M330&gt;0,"Ada","Tidak Ada")</f>
        <v>Tidak Ada</v>
      </c>
      <c r="O330" s="41" t="str">
        <f aca="false">IF(M330&gt;0,MIN(J330:L330),"-")</f>
        <v>-</v>
      </c>
      <c r="P330" s="41" t="str">
        <f aca="false">IF(M330&gt;0,AVERAGE(J330:L330),"-")</f>
        <v>-</v>
      </c>
      <c r="Q330" s="41" t="str">
        <f aca="false">IF(M330&gt;0,O330-G330,"-")</f>
        <v>-</v>
      </c>
      <c r="R330" s="42" t="str">
        <f aca="false">IF(M330&gt;0,IFERROR(Q330/O330,"-"),"-")</f>
        <v>-</v>
      </c>
      <c r="S330" s="41" t="n">
        <f aca="false">IF(M330&gt;0,ROUND(MAX(G330*1.08,O330*0.97)/100,0)*100,ROUND(G330*1.12/100,0)*100)</f>
        <v>330500</v>
      </c>
      <c r="T330" s="42" t="n">
        <f aca="false">IFERROR((S330-G330)/S330,"-")</f>
        <v>0.107062027231467</v>
      </c>
    </row>
    <row r="331" customFormat="false" ht="15" hidden="false" customHeight="false" outlineLevel="0" collapsed="false">
      <c r="A331" s="8" t="s">
        <v>2405</v>
      </c>
      <c r="B331" s="8" t="s">
        <v>2478</v>
      </c>
      <c r="C331" s="8" t="s">
        <v>2479</v>
      </c>
      <c r="D331" s="8" t="s">
        <v>43</v>
      </c>
      <c r="E331" s="8" t="n">
        <v>400000</v>
      </c>
      <c r="F331" s="38" t="n">
        <f aca="false">IFERROR(VALUE(SUBSTITUTE(SUBSTITUTE('TRI INDOFLAZ'!E15,"Rp. ",""),".","")),'TRI INDOFLAZ'!E15)</f>
        <v>390150</v>
      </c>
      <c r="G331" s="38" t="n">
        <f aca="false">IFERROR(VALUE(SUBSTITUTE(SUBSTITUTE('TRI INDOFLAZ'!F15,"Rp. ",""),".","")),'TRI INDOFLAZ'!F15)</f>
        <v>389950</v>
      </c>
      <c r="H331" s="38" t="n">
        <f aca="false">IFERROR(VALUE(SUBSTITUTE(SUBSTITUTE('TRI INDOFLAZ'!G15,"Rp. ",""),".","")),'TRI INDOFLAZ'!G15)</f>
        <v>389750</v>
      </c>
      <c r="I331" s="8" t="s">
        <v>2625</v>
      </c>
      <c r="J331" s="39"/>
      <c r="K331" s="39"/>
      <c r="L331" s="39"/>
      <c r="M331" s="8" t="n">
        <f aca="false">COUNT(J331:L331)</f>
        <v>0</v>
      </c>
      <c r="N331" s="40" t="str">
        <f aca="false">IF(M331&gt;0,"Ada","Tidak Ada")</f>
        <v>Tidak Ada</v>
      </c>
      <c r="O331" s="41" t="str">
        <f aca="false">IF(M331&gt;0,MIN(J331:L331),"-")</f>
        <v>-</v>
      </c>
      <c r="P331" s="41" t="str">
        <f aca="false">IF(M331&gt;0,AVERAGE(J331:L331),"-")</f>
        <v>-</v>
      </c>
      <c r="Q331" s="41" t="str">
        <f aca="false">IF(M331&gt;0,O331-G331,"-")</f>
        <v>-</v>
      </c>
      <c r="R331" s="42" t="str">
        <f aca="false">IF(M331&gt;0,IFERROR(Q331/O331,"-"),"-")</f>
        <v>-</v>
      </c>
      <c r="S331" s="41" t="n">
        <f aca="false">IF(M331&gt;0,ROUND(MAX(G331*1.08,O331*0.97)/100,0)*100,ROUND(G331*1.12/100,0)*100)</f>
        <v>436700</v>
      </c>
      <c r="T331" s="42" t="n">
        <f aca="false">IFERROR((S331-G331)/S331,"-")</f>
        <v>0.107052896725441</v>
      </c>
    </row>
    <row r="332" customFormat="false" ht="15" hidden="false" customHeight="false" outlineLevel="0" collapsed="false">
      <c r="A332" s="8" t="s">
        <v>2405</v>
      </c>
      <c r="B332" s="8" t="s">
        <v>2484</v>
      </c>
      <c r="C332" s="8" t="s">
        <v>2485</v>
      </c>
      <c r="D332" s="8" t="s">
        <v>43</v>
      </c>
      <c r="E332" s="8" t="n">
        <v>500000</v>
      </c>
      <c r="F332" s="38" t="n">
        <f aca="false">IFERROR(VALUE(SUBSTITUTE(SUBSTITUTE('TRI INDOFLAZ'!E16,"Rp. ",""),".","")),'TRI INDOFLAZ'!E16)</f>
        <v>491516</v>
      </c>
      <c r="G332" s="38" t="n">
        <f aca="false">IFERROR(VALUE(SUBSTITUTE(SUBSTITUTE('TRI INDOFLAZ'!F16,"Rp. ",""),".","")),'TRI INDOFLAZ'!F16)</f>
        <v>491316</v>
      </c>
      <c r="H332" s="38" t="n">
        <f aca="false">IFERROR(VALUE(SUBSTITUTE(SUBSTITUTE('TRI INDOFLAZ'!G16,"Rp. ",""),".","")),'TRI INDOFLAZ'!G16)</f>
        <v>491116</v>
      </c>
      <c r="I332" s="8" t="s">
        <v>2625</v>
      </c>
      <c r="J332" s="39"/>
      <c r="K332" s="39"/>
      <c r="L332" s="39"/>
      <c r="M332" s="8" t="n">
        <f aca="false">COUNT(J332:L332)</f>
        <v>0</v>
      </c>
      <c r="N332" s="40" t="str">
        <f aca="false">IF(M332&gt;0,"Ada","Tidak Ada")</f>
        <v>Tidak Ada</v>
      </c>
      <c r="O332" s="41" t="str">
        <f aca="false">IF(M332&gt;0,MIN(J332:L332),"-")</f>
        <v>-</v>
      </c>
      <c r="P332" s="41" t="str">
        <f aca="false">IF(M332&gt;0,AVERAGE(J332:L332),"-")</f>
        <v>-</v>
      </c>
      <c r="Q332" s="41" t="str">
        <f aca="false">IF(M332&gt;0,O332-G332,"-")</f>
        <v>-</v>
      </c>
      <c r="R332" s="42" t="str">
        <f aca="false">IF(M332&gt;0,IFERROR(Q332/O332,"-"),"-")</f>
        <v>-</v>
      </c>
      <c r="S332" s="41" t="n">
        <f aca="false">IF(M332&gt;0,ROUND(MAX(G332*1.08,O332*0.97)/100,0)*100,ROUND(G332*1.12/100,0)*100)</f>
        <v>550300</v>
      </c>
      <c r="T332" s="42" t="n">
        <f aca="false">IFERROR((S332-G332)/S332,"-")</f>
        <v>0.107185171724514</v>
      </c>
    </row>
    <row r="333" customFormat="false" ht="15" hidden="false" customHeight="false" outlineLevel="0" collapsed="false">
      <c r="A333" s="8" t="s">
        <v>2491</v>
      </c>
      <c r="B333" s="8" t="s">
        <v>2490</v>
      </c>
      <c r="C333" s="8" t="s">
        <v>2492</v>
      </c>
      <c r="D333" s="8" t="s">
        <v>44</v>
      </c>
      <c r="E333" s="8" t="n">
        <v>10000</v>
      </c>
      <c r="F333" s="38" t="n">
        <f aca="false">IFERROR(VALUE(SUBSTITUTE(SUBSTITUTE('SMARTFREN INDOFLAZ'!E2,"Rp. ",""),".","")),'SMARTFREN INDOFLAZ'!E2)</f>
        <v>10520</v>
      </c>
      <c r="G333" s="38" t="n">
        <f aca="false">IFERROR(VALUE(SUBSTITUTE(SUBSTITUTE('SMARTFREN INDOFLAZ'!F2,"Rp. ",""),".","")),'SMARTFREN INDOFLAZ'!F2)</f>
        <v>10320</v>
      </c>
      <c r="H333" s="38" t="n">
        <f aca="false">IFERROR(VALUE(SUBSTITUTE(SUBSTITUTE('SMARTFREN INDOFLAZ'!G2,"Rp. ",""),".","")),'SMARTFREN INDOFLAZ'!G2)</f>
        <v>10120</v>
      </c>
      <c r="I333" s="8" t="s">
        <v>2643</v>
      </c>
      <c r="J333" s="38" t="n">
        <f aca="false">'SMARTFREN OURASTORE'!A4</f>
        <v>11955</v>
      </c>
      <c r="K333" s="39"/>
      <c r="L333" s="39"/>
      <c r="M333" s="8" t="n">
        <f aca="false">COUNT(J333:L333)</f>
        <v>1</v>
      </c>
      <c r="N333" s="40" t="str">
        <f aca="false">IF(M333&gt;0,"Ada","Tidak Ada")</f>
        <v>Ada</v>
      </c>
      <c r="O333" s="41" t="n">
        <f aca="false">IF(M333&gt;0,MIN(J333:L333),"-")</f>
        <v>11955</v>
      </c>
      <c r="P333" s="41" t="n">
        <f aca="false">IF(M333&gt;0,AVERAGE(J333:L333),"-")</f>
        <v>11955</v>
      </c>
      <c r="Q333" s="41" t="n">
        <f aca="false">IF(M333&gt;0,O333-G333,"-")</f>
        <v>1635</v>
      </c>
      <c r="R333" s="42" t="n">
        <f aca="false">IF(M333&gt;0,IFERROR(Q333/O333,"-"),"-")</f>
        <v>0.136762860727729</v>
      </c>
      <c r="S333" s="41" t="n">
        <f aca="false">IF(M333&gt;0,ROUND(MAX(G333*1.08,O333*0.97)/100,0)*100,ROUND(G333*1.12/100,0)*100)</f>
        <v>11600</v>
      </c>
      <c r="T333" s="42" t="n">
        <f aca="false">IFERROR((S333-G333)/S333,"-")</f>
        <v>0.110344827586207</v>
      </c>
    </row>
    <row r="334" customFormat="false" ht="15" hidden="false" customHeight="false" outlineLevel="0" collapsed="false">
      <c r="A334" s="8" t="s">
        <v>2491</v>
      </c>
      <c r="B334" s="8" t="s">
        <v>2497</v>
      </c>
      <c r="C334" s="8" t="s">
        <v>2498</v>
      </c>
      <c r="D334" s="8" t="s">
        <v>44</v>
      </c>
      <c r="E334" s="8" t="n">
        <v>20000</v>
      </c>
      <c r="F334" s="38" t="n">
        <f aca="false">IFERROR(VALUE(SUBSTITUTE(SUBSTITUTE('SMARTFREN INDOFLAZ'!E3,"Rp. ",""),".","")),'SMARTFREN INDOFLAZ'!E3)</f>
        <v>20405</v>
      </c>
      <c r="G334" s="38" t="n">
        <f aca="false">IFERROR(VALUE(SUBSTITUTE(SUBSTITUTE('SMARTFREN INDOFLAZ'!F3,"Rp. ",""),".","")),'SMARTFREN INDOFLAZ'!F3)</f>
        <v>20205</v>
      </c>
      <c r="H334" s="38" t="n">
        <f aca="false">IFERROR(VALUE(SUBSTITUTE(SUBSTITUTE('SMARTFREN INDOFLAZ'!G3,"Rp. ",""),".","")),'SMARTFREN INDOFLAZ'!G3)</f>
        <v>20005</v>
      </c>
      <c r="I334" s="8" t="s">
        <v>2643</v>
      </c>
      <c r="J334" s="38" t="n">
        <f aca="false">'SMARTFREN OURASTORE'!A8</f>
        <v>22140</v>
      </c>
      <c r="K334" s="39"/>
      <c r="L334" s="39"/>
      <c r="M334" s="8" t="n">
        <f aca="false">COUNT(J334:L334)</f>
        <v>1</v>
      </c>
      <c r="N334" s="40" t="str">
        <f aca="false">IF(M334&gt;0,"Ada","Tidak Ada")</f>
        <v>Ada</v>
      </c>
      <c r="O334" s="41" t="n">
        <f aca="false">IF(M334&gt;0,MIN(J334:L334),"-")</f>
        <v>22140</v>
      </c>
      <c r="P334" s="41" t="n">
        <f aca="false">IF(M334&gt;0,AVERAGE(J334:L334),"-")</f>
        <v>22140</v>
      </c>
      <c r="Q334" s="41" t="n">
        <f aca="false">IF(M334&gt;0,O334-G334,"-")</f>
        <v>1935</v>
      </c>
      <c r="R334" s="42" t="n">
        <f aca="false">IF(M334&gt;0,IFERROR(Q334/O334,"-"),"-")</f>
        <v>0.0873983739837398</v>
      </c>
      <c r="S334" s="41" t="n">
        <f aca="false">IF(M334&gt;0,ROUND(MAX(G334*1.08,O334*0.97)/100,0)*100,ROUND(G334*1.12/100,0)*100)</f>
        <v>21800</v>
      </c>
      <c r="T334" s="42" t="n">
        <f aca="false">IFERROR((S334-G334)/S334,"-")</f>
        <v>0.0731651376146789</v>
      </c>
    </row>
    <row r="335" customFormat="false" ht="15" hidden="false" customHeight="false" outlineLevel="0" collapsed="false">
      <c r="A335" s="8" t="s">
        <v>2491</v>
      </c>
      <c r="B335" s="8" t="s">
        <v>2503</v>
      </c>
      <c r="C335" s="8" t="s">
        <v>2504</v>
      </c>
      <c r="D335" s="8" t="s">
        <v>44</v>
      </c>
      <c r="E335" s="8" t="n">
        <v>25000</v>
      </c>
      <c r="F335" s="38" t="n">
        <f aca="false">IFERROR(VALUE(SUBSTITUTE(SUBSTITUTE('SMARTFREN INDOFLAZ'!E4,"Rp. ",""),".","")),'SMARTFREN INDOFLAZ'!E4)</f>
        <v>25560</v>
      </c>
      <c r="G335" s="38" t="n">
        <f aca="false">IFERROR(VALUE(SUBSTITUTE(SUBSTITUTE('SMARTFREN INDOFLAZ'!F4,"Rp. ",""),".","")),'SMARTFREN INDOFLAZ'!F4)</f>
        <v>25360</v>
      </c>
      <c r="H335" s="38" t="n">
        <f aca="false">IFERROR(VALUE(SUBSTITUTE(SUBSTITUTE('SMARTFREN INDOFLAZ'!G4,"Rp. ",""),".","")),'SMARTFREN INDOFLAZ'!G4)</f>
        <v>25160</v>
      </c>
      <c r="I335" s="8" t="s">
        <v>2643</v>
      </c>
      <c r="J335" s="38" t="n">
        <f aca="false">'SMARTFREN OURASTORE'!A10</f>
        <v>26684</v>
      </c>
      <c r="K335" s="39"/>
      <c r="L335" s="39"/>
      <c r="M335" s="8" t="n">
        <f aca="false">COUNT(J335:L335)</f>
        <v>1</v>
      </c>
      <c r="N335" s="40" t="str">
        <f aca="false">IF(M335&gt;0,"Ada","Tidak Ada")</f>
        <v>Ada</v>
      </c>
      <c r="O335" s="41" t="n">
        <f aca="false">IF(M335&gt;0,MIN(J335:L335),"-")</f>
        <v>26684</v>
      </c>
      <c r="P335" s="41" t="n">
        <f aca="false">IF(M335&gt;0,AVERAGE(J335:L335),"-")</f>
        <v>26684</v>
      </c>
      <c r="Q335" s="41" t="n">
        <f aca="false">IF(M335&gt;0,O335-G335,"-")</f>
        <v>1324</v>
      </c>
      <c r="R335" s="42" t="n">
        <f aca="false">IF(M335&gt;0,IFERROR(Q335/O335,"-"),"-")</f>
        <v>0.0496177484634987</v>
      </c>
      <c r="S335" s="41" t="n">
        <f aca="false">IF(M335&gt;0,ROUND(MAX(G335*1.08,O335*0.97)/100,0)*100,ROUND(G335*1.12/100,0)*100)</f>
        <v>27400</v>
      </c>
      <c r="T335" s="42" t="n">
        <f aca="false">IFERROR((S335-G335)/S335,"-")</f>
        <v>0.0744525547445255</v>
      </c>
    </row>
    <row r="336" customFormat="false" ht="15" hidden="false" customHeight="false" outlineLevel="0" collapsed="false">
      <c r="A336" s="8" t="s">
        <v>2491</v>
      </c>
      <c r="B336" s="8" t="s">
        <v>2509</v>
      </c>
      <c r="C336" s="8" t="s">
        <v>2510</v>
      </c>
      <c r="D336" s="8" t="s">
        <v>44</v>
      </c>
      <c r="E336" s="8" t="n">
        <v>30000</v>
      </c>
      <c r="F336" s="38" t="n">
        <f aca="false">IFERROR(VALUE(SUBSTITUTE(SUBSTITUTE('SMARTFREN INDOFLAZ'!E5,"Rp. ",""),".","")),'SMARTFREN INDOFLAZ'!E5)</f>
        <v>30575</v>
      </c>
      <c r="G336" s="38" t="n">
        <f aca="false">IFERROR(VALUE(SUBSTITUTE(SUBSTITUTE('SMARTFREN INDOFLAZ'!F5,"Rp. ",""),".","")),'SMARTFREN INDOFLAZ'!F5)</f>
        <v>30375</v>
      </c>
      <c r="H336" s="38" t="n">
        <f aca="false">IFERROR(VALUE(SUBSTITUTE(SUBSTITUTE('SMARTFREN INDOFLAZ'!G5,"Rp. ",""),".","")),'SMARTFREN INDOFLAZ'!G5)</f>
        <v>30175</v>
      </c>
      <c r="I336" s="8" t="s">
        <v>2643</v>
      </c>
      <c r="J336" s="38" t="n">
        <f aca="false">'SMARTFREN OURASTORE'!A12</f>
        <v>31854</v>
      </c>
      <c r="K336" s="39"/>
      <c r="L336" s="39"/>
      <c r="M336" s="8" t="n">
        <f aca="false">COUNT(J336:L336)</f>
        <v>1</v>
      </c>
      <c r="N336" s="40" t="str">
        <f aca="false">IF(M336&gt;0,"Ada","Tidak Ada")</f>
        <v>Ada</v>
      </c>
      <c r="O336" s="41" t="n">
        <f aca="false">IF(M336&gt;0,MIN(J336:L336),"-")</f>
        <v>31854</v>
      </c>
      <c r="P336" s="41" t="n">
        <f aca="false">IF(M336&gt;0,AVERAGE(J336:L336),"-")</f>
        <v>31854</v>
      </c>
      <c r="Q336" s="41" t="n">
        <f aca="false">IF(M336&gt;0,O336-G336,"-")</f>
        <v>1479</v>
      </c>
      <c r="R336" s="42" t="n">
        <f aca="false">IF(M336&gt;0,IFERROR(Q336/O336,"-"),"-")</f>
        <v>0.0464305895648898</v>
      </c>
      <c r="S336" s="41" t="n">
        <f aca="false">IF(M336&gt;0,ROUND(MAX(G336*1.08,O336*0.97)/100,0)*100,ROUND(G336*1.12/100,0)*100)</f>
        <v>32800</v>
      </c>
      <c r="T336" s="42" t="n">
        <f aca="false">IFERROR((S336-G336)/S336,"-")</f>
        <v>0.0739329268292683</v>
      </c>
    </row>
    <row r="337" customFormat="false" ht="15" hidden="false" customHeight="false" outlineLevel="0" collapsed="false">
      <c r="A337" s="8" t="s">
        <v>2491</v>
      </c>
      <c r="B337" s="8" t="s">
        <v>2514</v>
      </c>
      <c r="C337" s="8" t="s">
        <v>2515</v>
      </c>
      <c r="D337" s="8" t="s">
        <v>44</v>
      </c>
      <c r="E337" s="8" t="n">
        <v>35000</v>
      </c>
      <c r="F337" s="38" t="n">
        <f aca="false">IFERROR(VALUE(SUBSTITUTE(SUBSTITUTE('SMARTFREN INDOFLAZ'!E6,"Rp. ",""),".","")),'SMARTFREN INDOFLAZ'!E6)</f>
        <v>35539</v>
      </c>
      <c r="G337" s="38" t="n">
        <f aca="false">IFERROR(VALUE(SUBSTITUTE(SUBSTITUTE('SMARTFREN INDOFLAZ'!F6,"Rp. ",""),".","")),'SMARTFREN INDOFLAZ'!F6)</f>
        <v>35339</v>
      </c>
      <c r="H337" s="38" t="n">
        <f aca="false">IFERROR(VALUE(SUBSTITUTE(SUBSTITUTE('SMARTFREN INDOFLAZ'!G6,"Rp. ",""),".","")),'SMARTFREN INDOFLAZ'!G6)</f>
        <v>35139</v>
      </c>
      <c r="I337" s="8" t="s">
        <v>2643</v>
      </c>
      <c r="J337" s="38" t="n">
        <f aca="false">'SMARTFREN OURASTORE'!A14</f>
        <v>37014</v>
      </c>
      <c r="K337" s="39"/>
      <c r="L337" s="39"/>
      <c r="M337" s="8" t="n">
        <f aca="false">COUNT(J337:L337)</f>
        <v>1</v>
      </c>
      <c r="N337" s="40" t="str">
        <f aca="false">IF(M337&gt;0,"Ada","Tidak Ada")</f>
        <v>Ada</v>
      </c>
      <c r="O337" s="41" t="n">
        <f aca="false">IF(M337&gt;0,MIN(J337:L337),"-")</f>
        <v>37014</v>
      </c>
      <c r="P337" s="41" t="n">
        <f aca="false">IF(M337&gt;0,AVERAGE(J337:L337),"-")</f>
        <v>37014</v>
      </c>
      <c r="Q337" s="41" t="n">
        <f aca="false">IF(M337&gt;0,O337-G337,"-")</f>
        <v>1675</v>
      </c>
      <c r="R337" s="42" t="n">
        <f aca="false">IF(M337&gt;0,IFERROR(Q337/O337,"-"),"-")</f>
        <v>0.0452531474577187</v>
      </c>
      <c r="S337" s="41" t="n">
        <f aca="false">IF(M337&gt;0,ROUND(MAX(G337*1.08,O337*0.97)/100,0)*100,ROUND(G337*1.12/100,0)*100)</f>
        <v>38200</v>
      </c>
      <c r="T337" s="42" t="n">
        <f aca="false">IFERROR((S337-G337)/S337,"-")</f>
        <v>0.0748952879581152</v>
      </c>
    </row>
    <row r="338" customFormat="false" ht="15" hidden="false" customHeight="false" outlineLevel="0" collapsed="false">
      <c r="A338" s="8" t="s">
        <v>2491</v>
      </c>
      <c r="B338" s="8" t="s">
        <v>2520</v>
      </c>
      <c r="C338" s="8" t="s">
        <v>2521</v>
      </c>
      <c r="D338" s="8" t="s">
        <v>44</v>
      </c>
      <c r="E338" s="8" t="n">
        <v>40000</v>
      </c>
      <c r="F338" s="38" t="n">
        <f aca="false">IFERROR(VALUE(SUBSTITUTE(SUBSTITUTE('SMARTFREN INDOFLAZ'!E7,"Rp. ",""),".","")),'SMARTFREN INDOFLAZ'!E7)</f>
        <v>40539</v>
      </c>
      <c r="G338" s="38" t="n">
        <f aca="false">IFERROR(VALUE(SUBSTITUTE(SUBSTITUTE('SMARTFREN INDOFLAZ'!F7,"Rp. ",""),".","")),'SMARTFREN INDOFLAZ'!F7)</f>
        <v>40339</v>
      </c>
      <c r="H338" s="38" t="n">
        <f aca="false">IFERROR(VALUE(SUBSTITUTE(SUBSTITUTE('SMARTFREN INDOFLAZ'!G7,"Rp. ",""),".","")),'SMARTFREN INDOFLAZ'!G7)</f>
        <v>40139</v>
      </c>
      <c r="I338" s="8" t="s">
        <v>2625</v>
      </c>
      <c r="J338" s="39"/>
      <c r="K338" s="39"/>
      <c r="L338" s="39"/>
      <c r="M338" s="8" t="n">
        <f aca="false">COUNT(J338:L338)</f>
        <v>0</v>
      </c>
      <c r="N338" s="40" t="str">
        <f aca="false">IF(M338&gt;0,"Ada","Tidak Ada")</f>
        <v>Tidak Ada</v>
      </c>
      <c r="O338" s="41" t="str">
        <f aca="false">IF(M338&gt;0,MIN(J338:L338),"-")</f>
        <v>-</v>
      </c>
      <c r="P338" s="41" t="str">
        <f aca="false">IF(M338&gt;0,AVERAGE(J338:L338),"-")</f>
        <v>-</v>
      </c>
      <c r="Q338" s="41" t="str">
        <f aca="false">IF(M338&gt;0,O338-G338,"-")</f>
        <v>-</v>
      </c>
      <c r="R338" s="42" t="str">
        <f aca="false">IF(M338&gt;0,IFERROR(Q338/O338,"-"),"-")</f>
        <v>-</v>
      </c>
      <c r="S338" s="41" t="n">
        <f aca="false">IF(M338&gt;0,ROUND(MAX(G338*1.08,O338*0.97)/100,0)*100,ROUND(G338*1.12/100,0)*100)</f>
        <v>45200</v>
      </c>
      <c r="T338" s="42" t="n">
        <f aca="false">IFERROR((S338-G338)/S338,"-")</f>
        <v>0.107544247787611</v>
      </c>
    </row>
    <row r="339" customFormat="false" ht="15" hidden="false" customHeight="false" outlineLevel="0" collapsed="false">
      <c r="A339" s="8" t="s">
        <v>2491</v>
      </c>
      <c r="B339" s="8" t="s">
        <v>2525</v>
      </c>
      <c r="C339" s="8" t="s">
        <v>2526</v>
      </c>
      <c r="D339" s="8" t="s">
        <v>44</v>
      </c>
      <c r="E339" s="8" t="n">
        <v>45000</v>
      </c>
      <c r="F339" s="38" t="n">
        <f aca="false">IFERROR(VALUE(SUBSTITUTE(SUBSTITUTE('SMARTFREN INDOFLAZ'!E8,"Rp. ",""),".","")),'SMARTFREN INDOFLAZ'!E8)</f>
        <v>45539</v>
      </c>
      <c r="G339" s="38" t="n">
        <f aca="false">IFERROR(VALUE(SUBSTITUTE(SUBSTITUTE('SMARTFREN INDOFLAZ'!F8,"Rp. ",""),".","")),'SMARTFREN INDOFLAZ'!F8)</f>
        <v>45339</v>
      </c>
      <c r="H339" s="38" t="n">
        <f aca="false">IFERROR(VALUE(SUBSTITUTE(SUBSTITUTE('SMARTFREN INDOFLAZ'!G8,"Rp. ",""),".","")),'SMARTFREN INDOFLAZ'!G8)</f>
        <v>45139</v>
      </c>
      <c r="I339" s="8" t="s">
        <v>2625</v>
      </c>
      <c r="J339" s="39"/>
      <c r="K339" s="39"/>
      <c r="L339" s="39"/>
      <c r="M339" s="8" t="n">
        <f aca="false">COUNT(J339:L339)</f>
        <v>0</v>
      </c>
      <c r="N339" s="40" t="str">
        <f aca="false">IF(M339&gt;0,"Ada","Tidak Ada")</f>
        <v>Tidak Ada</v>
      </c>
      <c r="O339" s="41" t="str">
        <f aca="false">IF(M339&gt;0,MIN(J339:L339),"-")</f>
        <v>-</v>
      </c>
      <c r="P339" s="41" t="str">
        <f aca="false">IF(M339&gt;0,AVERAGE(J339:L339),"-")</f>
        <v>-</v>
      </c>
      <c r="Q339" s="41" t="str">
        <f aca="false">IF(M339&gt;0,O339-G339,"-")</f>
        <v>-</v>
      </c>
      <c r="R339" s="42" t="str">
        <f aca="false">IF(M339&gt;0,IFERROR(Q339/O339,"-"),"-")</f>
        <v>-</v>
      </c>
      <c r="S339" s="41" t="n">
        <f aca="false">IF(M339&gt;0,ROUND(MAX(G339*1.08,O339*0.97)/100,0)*100,ROUND(G339*1.12/100,0)*100)</f>
        <v>50800</v>
      </c>
      <c r="T339" s="42" t="n">
        <f aca="false">IFERROR((S339-G339)/S339,"-")</f>
        <v>0.1075</v>
      </c>
    </row>
    <row r="340" customFormat="false" ht="15" hidden="false" customHeight="false" outlineLevel="0" collapsed="false">
      <c r="A340" s="8" t="s">
        <v>2491</v>
      </c>
      <c r="B340" s="8" t="s">
        <v>2530</v>
      </c>
      <c r="C340" s="8" t="s">
        <v>2531</v>
      </c>
      <c r="D340" s="8" t="s">
        <v>44</v>
      </c>
      <c r="E340" s="8" t="n">
        <v>50000</v>
      </c>
      <c r="F340" s="38" t="n">
        <f aca="false">IFERROR(VALUE(SUBSTITUTE(SUBSTITUTE('SMARTFREN INDOFLAZ'!E9,"Rp. ",""),".","")),'SMARTFREN INDOFLAZ'!E9)</f>
        <v>50590</v>
      </c>
      <c r="G340" s="38" t="n">
        <f aca="false">IFERROR(VALUE(SUBSTITUTE(SUBSTITUTE('SMARTFREN INDOFLAZ'!F9,"Rp. ",""),".","")),'SMARTFREN INDOFLAZ'!F9)</f>
        <v>50390</v>
      </c>
      <c r="H340" s="38" t="n">
        <f aca="false">IFERROR(VALUE(SUBSTITUTE(SUBSTITUTE('SMARTFREN INDOFLAZ'!G9,"Rp. ",""),".","")),'SMARTFREN INDOFLAZ'!G9)</f>
        <v>50190</v>
      </c>
      <c r="I340" s="8" t="s">
        <v>2643</v>
      </c>
      <c r="J340" s="38" t="n">
        <f aca="false">'SMARTFREN OURASTORE'!A16</f>
        <v>51399</v>
      </c>
      <c r="K340" s="39"/>
      <c r="L340" s="39"/>
      <c r="M340" s="8" t="n">
        <f aca="false">COUNT(J340:L340)</f>
        <v>1</v>
      </c>
      <c r="N340" s="40" t="str">
        <f aca="false">IF(M340&gt;0,"Ada","Tidak Ada")</f>
        <v>Ada</v>
      </c>
      <c r="O340" s="41" t="n">
        <f aca="false">IF(M340&gt;0,MIN(J340:L340),"-")</f>
        <v>51399</v>
      </c>
      <c r="P340" s="41" t="n">
        <f aca="false">IF(M340&gt;0,AVERAGE(J340:L340),"-")</f>
        <v>51399</v>
      </c>
      <c r="Q340" s="41" t="n">
        <f aca="false">IF(M340&gt;0,O340-G340,"-")</f>
        <v>1009</v>
      </c>
      <c r="R340" s="42" t="n">
        <f aca="false">IF(M340&gt;0,IFERROR(Q340/O340,"-"),"-")</f>
        <v>0.0196307321154108</v>
      </c>
      <c r="S340" s="41" t="n">
        <f aca="false">IF(M340&gt;0,ROUND(MAX(G340*1.08,O340*0.97)/100,0)*100,ROUND(G340*1.12/100,0)*100)</f>
        <v>54400</v>
      </c>
      <c r="T340" s="42" t="n">
        <f aca="false">IFERROR((S340-G340)/S340,"-")</f>
        <v>0.0737132352941177</v>
      </c>
    </row>
    <row r="341" customFormat="false" ht="15" hidden="false" customHeight="false" outlineLevel="0" collapsed="false">
      <c r="A341" s="8" t="s">
        <v>2491</v>
      </c>
      <c r="B341" s="8" t="s">
        <v>2536</v>
      </c>
      <c r="C341" s="8" t="s">
        <v>2537</v>
      </c>
      <c r="D341" s="8" t="s">
        <v>44</v>
      </c>
      <c r="E341" s="8" t="n">
        <v>55000</v>
      </c>
      <c r="F341" s="38" t="n">
        <f aca="false">IFERROR(VALUE(SUBSTITUTE(SUBSTITUTE('SMARTFREN INDOFLAZ'!E10,"Rp. ",""),".","")),'SMARTFREN INDOFLAZ'!E10)</f>
        <v>55539</v>
      </c>
      <c r="G341" s="38" t="n">
        <f aca="false">IFERROR(VALUE(SUBSTITUTE(SUBSTITUTE('SMARTFREN INDOFLAZ'!F10,"Rp. ",""),".","")),'SMARTFREN INDOFLAZ'!F10)</f>
        <v>55339</v>
      </c>
      <c r="H341" s="38" t="n">
        <f aca="false">IFERROR(VALUE(SUBSTITUTE(SUBSTITUTE('SMARTFREN INDOFLAZ'!G10,"Rp. ",""),".","")),'SMARTFREN INDOFLAZ'!G10)</f>
        <v>55139</v>
      </c>
      <c r="I341" s="8" t="s">
        <v>2625</v>
      </c>
      <c r="J341" s="39"/>
      <c r="K341" s="39"/>
      <c r="L341" s="39"/>
      <c r="M341" s="8" t="n">
        <f aca="false">COUNT(J341:L341)</f>
        <v>0</v>
      </c>
      <c r="N341" s="40" t="str">
        <f aca="false">IF(M341&gt;0,"Ada","Tidak Ada")</f>
        <v>Tidak Ada</v>
      </c>
      <c r="O341" s="41" t="str">
        <f aca="false">IF(M341&gt;0,MIN(J341:L341),"-")</f>
        <v>-</v>
      </c>
      <c r="P341" s="41" t="str">
        <f aca="false">IF(M341&gt;0,AVERAGE(J341:L341),"-")</f>
        <v>-</v>
      </c>
      <c r="Q341" s="41" t="str">
        <f aca="false">IF(M341&gt;0,O341-G341,"-")</f>
        <v>-</v>
      </c>
      <c r="R341" s="42" t="str">
        <f aca="false">IF(M341&gt;0,IFERROR(Q341/O341,"-"),"-")</f>
        <v>-</v>
      </c>
      <c r="S341" s="41" t="n">
        <f aca="false">IF(M341&gt;0,ROUND(MAX(G341*1.08,O341*0.97)/100,0)*100,ROUND(G341*1.12/100,0)*100)</f>
        <v>62000</v>
      </c>
      <c r="T341" s="42" t="n">
        <f aca="false">IFERROR((S341-G341)/S341,"-")</f>
        <v>0.107435483870968</v>
      </c>
    </row>
    <row r="342" customFormat="false" ht="15" hidden="false" customHeight="false" outlineLevel="0" collapsed="false">
      <c r="A342" s="8" t="s">
        <v>2491</v>
      </c>
      <c r="B342" s="8" t="s">
        <v>2542</v>
      </c>
      <c r="C342" s="8" t="s">
        <v>2543</v>
      </c>
      <c r="D342" s="8" t="s">
        <v>44</v>
      </c>
      <c r="E342" s="8" t="n">
        <v>65000</v>
      </c>
      <c r="F342" s="38" t="n">
        <f aca="false">IFERROR(VALUE(SUBSTITUTE(SUBSTITUTE('SMARTFREN INDOFLAZ'!E11,"Rp. ",""),".","")),'SMARTFREN INDOFLAZ'!E11)</f>
        <v>65539</v>
      </c>
      <c r="G342" s="38" t="n">
        <f aca="false">IFERROR(VALUE(SUBSTITUTE(SUBSTITUTE('SMARTFREN INDOFLAZ'!F11,"Rp. ",""),".","")),'SMARTFREN INDOFLAZ'!F11)</f>
        <v>65339</v>
      </c>
      <c r="H342" s="38" t="n">
        <f aca="false">IFERROR(VALUE(SUBSTITUTE(SUBSTITUTE('SMARTFREN INDOFLAZ'!G11,"Rp. ",""),".","")),'SMARTFREN INDOFLAZ'!G11)</f>
        <v>65139</v>
      </c>
      <c r="I342" s="8" t="s">
        <v>2643</v>
      </c>
      <c r="J342" s="38" t="n">
        <f aca="false">'SMARTFREN OURASTORE'!A20</f>
        <v>67013</v>
      </c>
      <c r="K342" s="39"/>
      <c r="L342" s="39"/>
      <c r="M342" s="8" t="n">
        <f aca="false">COUNT(J342:L342)</f>
        <v>1</v>
      </c>
      <c r="N342" s="40" t="str">
        <f aca="false">IF(M342&gt;0,"Ada","Tidak Ada")</f>
        <v>Ada</v>
      </c>
      <c r="O342" s="41" t="n">
        <f aca="false">IF(M342&gt;0,MIN(J342:L342),"-")</f>
        <v>67013</v>
      </c>
      <c r="P342" s="41" t="n">
        <f aca="false">IF(M342&gt;0,AVERAGE(J342:L342),"-")</f>
        <v>67013</v>
      </c>
      <c r="Q342" s="41" t="n">
        <f aca="false">IF(M342&gt;0,O342-G342,"-")</f>
        <v>1674</v>
      </c>
      <c r="R342" s="42" t="n">
        <f aca="false">IF(M342&gt;0,IFERROR(Q342/O342,"-"),"-")</f>
        <v>0.0249802277170101</v>
      </c>
      <c r="S342" s="41" t="n">
        <f aca="false">IF(M342&gt;0,ROUND(MAX(G342*1.08,O342*0.97)/100,0)*100,ROUND(G342*1.12/100,0)*100)</f>
        <v>70600</v>
      </c>
      <c r="T342" s="42" t="n">
        <f aca="false">IFERROR((S342-G342)/S342,"-")</f>
        <v>0.0745184135977337</v>
      </c>
    </row>
    <row r="343" customFormat="false" ht="15" hidden="false" customHeight="false" outlineLevel="0" collapsed="false">
      <c r="A343" s="8" t="s">
        <v>2491</v>
      </c>
      <c r="B343" s="8" t="s">
        <v>2548</v>
      </c>
      <c r="C343" s="8" t="s">
        <v>2549</v>
      </c>
      <c r="D343" s="8" t="s">
        <v>44</v>
      </c>
      <c r="E343" s="8" t="n">
        <v>70000</v>
      </c>
      <c r="F343" s="38" t="n">
        <f aca="false">IFERROR(VALUE(SUBSTITUTE(SUBSTITUTE('SMARTFREN INDOFLAZ'!E12,"Rp. ",""),".","")),'SMARTFREN INDOFLAZ'!E12)</f>
        <v>70539</v>
      </c>
      <c r="G343" s="38" t="n">
        <f aca="false">IFERROR(VALUE(SUBSTITUTE(SUBSTITUTE('SMARTFREN INDOFLAZ'!F12,"Rp. ",""),".","")),'SMARTFREN INDOFLAZ'!F12)</f>
        <v>70339</v>
      </c>
      <c r="H343" s="38" t="n">
        <f aca="false">IFERROR(VALUE(SUBSTITUTE(SUBSTITUTE('SMARTFREN INDOFLAZ'!G12,"Rp. ",""),".","")),'SMARTFREN INDOFLAZ'!G12)</f>
        <v>70139</v>
      </c>
      <c r="I343" s="8" t="s">
        <v>2643</v>
      </c>
      <c r="J343" s="38" t="n">
        <f aca="false">'SMARTFREN OURASTORE'!A22</f>
        <v>71606</v>
      </c>
      <c r="K343" s="39"/>
      <c r="L343" s="39"/>
      <c r="M343" s="8" t="n">
        <f aca="false">COUNT(J343:L343)</f>
        <v>1</v>
      </c>
      <c r="N343" s="40" t="str">
        <f aca="false">IF(M343&gt;0,"Ada","Tidak Ada")</f>
        <v>Ada</v>
      </c>
      <c r="O343" s="41" t="n">
        <f aca="false">IF(M343&gt;0,MIN(J343:L343),"-")</f>
        <v>71606</v>
      </c>
      <c r="P343" s="41" t="n">
        <f aca="false">IF(M343&gt;0,AVERAGE(J343:L343),"-")</f>
        <v>71606</v>
      </c>
      <c r="Q343" s="41" t="n">
        <f aca="false">IF(M343&gt;0,O343-G343,"-")</f>
        <v>1267</v>
      </c>
      <c r="R343" s="42" t="n">
        <f aca="false">IF(M343&gt;0,IFERROR(Q343/O343,"-"),"-")</f>
        <v>0.0176940479848057</v>
      </c>
      <c r="S343" s="41" t="n">
        <f aca="false">IF(M343&gt;0,ROUND(MAX(G343*1.08,O343*0.97)/100,0)*100,ROUND(G343*1.12/100,0)*100)</f>
        <v>76000</v>
      </c>
      <c r="T343" s="42" t="n">
        <f aca="false">IFERROR((S343-G343)/S343,"-")</f>
        <v>0.0744868421052632</v>
      </c>
    </row>
    <row r="344" customFormat="false" ht="15" hidden="false" customHeight="false" outlineLevel="0" collapsed="false">
      <c r="A344" s="8" t="s">
        <v>2491</v>
      </c>
      <c r="B344" s="8" t="s">
        <v>2554</v>
      </c>
      <c r="C344" s="8" t="s">
        <v>2555</v>
      </c>
      <c r="D344" s="8" t="s">
        <v>44</v>
      </c>
      <c r="E344" s="8" t="n">
        <v>75000</v>
      </c>
      <c r="F344" s="38" t="n">
        <f aca="false">IFERROR(VALUE(SUBSTITUTE(SUBSTITUTE('SMARTFREN INDOFLAZ'!E13,"Rp. ",""),".","")),'SMARTFREN INDOFLAZ'!E13)</f>
        <v>75539</v>
      </c>
      <c r="G344" s="38" t="n">
        <f aca="false">IFERROR(VALUE(SUBSTITUTE(SUBSTITUTE('SMARTFREN INDOFLAZ'!F13,"Rp. ",""),".","")),'SMARTFREN INDOFLAZ'!F13)</f>
        <v>75339</v>
      </c>
      <c r="H344" s="38" t="n">
        <f aca="false">IFERROR(VALUE(SUBSTITUTE(SUBSTITUTE('SMARTFREN INDOFLAZ'!G13,"Rp. ",""),".","")),'SMARTFREN INDOFLAZ'!G13)</f>
        <v>75139</v>
      </c>
      <c r="I344" s="8" t="s">
        <v>2643</v>
      </c>
      <c r="J344" s="38" t="n">
        <f aca="false">'SMARTFREN OURASTORE'!A24</f>
        <v>76571</v>
      </c>
      <c r="K344" s="39"/>
      <c r="L344" s="39"/>
      <c r="M344" s="8" t="n">
        <f aca="false">COUNT(J344:L344)</f>
        <v>1</v>
      </c>
      <c r="N344" s="40" t="str">
        <f aca="false">IF(M344&gt;0,"Ada","Tidak Ada")</f>
        <v>Ada</v>
      </c>
      <c r="O344" s="41" t="n">
        <f aca="false">IF(M344&gt;0,MIN(J344:L344),"-")</f>
        <v>76571</v>
      </c>
      <c r="P344" s="41" t="n">
        <f aca="false">IF(M344&gt;0,AVERAGE(J344:L344),"-")</f>
        <v>76571</v>
      </c>
      <c r="Q344" s="41" t="n">
        <f aca="false">IF(M344&gt;0,O344-G344,"-")</f>
        <v>1232</v>
      </c>
      <c r="R344" s="42" t="n">
        <f aca="false">IF(M344&gt;0,IFERROR(Q344/O344,"-"),"-")</f>
        <v>0.016089642292774</v>
      </c>
      <c r="S344" s="41" t="n">
        <f aca="false">IF(M344&gt;0,ROUND(MAX(G344*1.08,O344*0.97)/100,0)*100,ROUND(G344*1.12/100,0)*100)</f>
        <v>81400</v>
      </c>
      <c r="T344" s="42" t="n">
        <f aca="false">IFERROR((S344-G344)/S344,"-")</f>
        <v>0.0744594594594595</v>
      </c>
    </row>
    <row r="345" customFormat="false" ht="15" hidden="false" customHeight="false" outlineLevel="0" collapsed="false">
      <c r="A345" s="8" t="s">
        <v>2491</v>
      </c>
      <c r="B345" s="8" t="s">
        <v>2560</v>
      </c>
      <c r="C345" s="8" t="s">
        <v>2561</v>
      </c>
      <c r="D345" s="8" t="s">
        <v>44</v>
      </c>
      <c r="E345" s="8" t="n">
        <v>80000</v>
      </c>
      <c r="F345" s="38" t="n">
        <f aca="false">IFERROR(VALUE(SUBSTITUTE(SUBSTITUTE('SMARTFREN INDOFLAZ'!E14,"Rp. ",""),".","")),'SMARTFREN INDOFLAZ'!E14)</f>
        <v>80539</v>
      </c>
      <c r="G345" s="38" t="n">
        <f aca="false">IFERROR(VALUE(SUBSTITUTE(SUBSTITUTE('SMARTFREN INDOFLAZ'!F14,"Rp. ",""),".","")),'SMARTFREN INDOFLAZ'!F14)</f>
        <v>80339</v>
      </c>
      <c r="H345" s="38" t="n">
        <f aca="false">IFERROR(VALUE(SUBSTITUTE(SUBSTITUTE('SMARTFREN INDOFLAZ'!G14,"Rp. ",""),".","")),'SMARTFREN INDOFLAZ'!G14)</f>
        <v>80139</v>
      </c>
      <c r="I345" s="8" t="s">
        <v>2643</v>
      </c>
      <c r="J345" s="38" t="n">
        <f aca="false">'SMARTFREN OURASTORE'!A26</f>
        <v>81556</v>
      </c>
      <c r="K345" s="39"/>
      <c r="L345" s="39"/>
      <c r="M345" s="8" t="n">
        <f aca="false">COUNT(J345:L345)</f>
        <v>1</v>
      </c>
      <c r="N345" s="40" t="str">
        <f aca="false">IF(M345&gt;0,"Ada","Tidak Ada")</f>
        <v>Ada</v>
      </c>
      <c r="O345" s="41" t="n">
        <f aca="false">IF(M345&gt;0,MIN(J345:L345),"-")</f>
        <v>81556</v>
      </c>
      <c r="P345" s="41" t="n">
        <f aca="false">IF(M345&gt;0,AVERAGE(J345:L345),"-")</f>
        <v>81556</v>
      </c>
      <c r="Q345" s="41" t="n">
        <f aca="false">IF(M345&gt;0,O345-G345,"-")</f>
        <v>1217</v>
      </c>
      <c r="R345" s="42" t="n">
        <f aca="false">IF(M345&gt;0,IFERROR(Q345/O345,"-"),"-")</f>
        <v>0.0149222620040218</v>
      </c>
      <c r="S345" s="41" t="n">
        <f aca="false">IF(M345&gt;0,ROUND(MAX(G345*1.08,O345*0.97)/100,0)*100,ROUND(G345*1.12/100,0)*100)</f>
        <v>86800</v>
      </c>
      <c r="T345" s="42" t="n">
        <f aca="false">IFERROR((S345-G345)/S345,"-")</f>
        <v>0.0744354838709677</v>
      </c>
    </row>
    <row r="346" customFormat="false" ht="15" hidden="false" customHeight="false" outlineLevel="0" collapsed="false">
      <c r="A346" s="8" t="s">
        <v>2491</v>
      </c>
      <c r="B346" s="8" t="s">
        <v>2566</v>
      </c>
      <c r="C346" s="8" t="s">
        <v>2567</v>
      </c>
      <c r="D346" s="8" t="s">
        <v>44</v>
      </c>
      <c r="E346" s="8" t="n">
        <v>85000</v>
      </c>
      <c r="F346" s="38" t="n">
        <f aca="false">IFERROR(VALUE(SUBSTITUTE(SUBSTITUTE('SMARTFREN INDOFLAZ'!E15,"Rp. ",""),".","")),'SMARTFREN INDOFLAZ'!E15)</f>
        <v>85539</v>
      </c>
      <c r="G346" s="38" t="n">
        <f aca="false">IFERROR(VALUE(SUBSTITUTE(SUBSTITUTE('SMARTFREN INDOFLAZ'!F15,"Rp. ",""),".","")),'SMARTFREN INDOFLAZ'!F15)</f>
        <v>85339</v>
      </c>
      <c r="H346" s="38" t="n">
        <f aca="false">IFERROR(VALUE(SUBSTITUTE(SUBSTITUTE('SMARTFREN INDOFLAZ'!G15,"Rp. ",""),".","")),'SMARTFREN INDOFLAZ'!G15)</f>
        <v>85139</v>
      </c>
      <c r="I346" s="8" t="s">
        <v>2643</v>
      </c>
      <c r="J346" s="38" t="n">
        <f aca="false">'SMARTFREN OURASTORE'!A28</f>
        <v>87033</v>
      </c>
      <c r="K346" s="39"/>
      <c r="L346" s="39"/>
      <c r="M346" s="8" t="n">
        <f aca="false">COUNT(J346:L346)</f>
        <v>1</v>
      </c>
      <c r="N346" s="40" t="str">
        <f aca="false">IF(M346&gt;0,"Ada","Tidak Ada")</f>
        <v>Ada</v>
      </c>
      <c r="O346" s="41" t="n">
        <f aca="false">IF(M346&gt;0,MIN(J346:L346),"-")</f>
        <v>87033</v>
      </c>
      <c r="P346" s="41" t="n">
        <f aca="false">IF(M346&gt;0,AVERAGE(J346:L346),"-")</f>
        <v>87033</v>
      </c>
      <c r="Q346" s="41" t="n">
        <f aca="false">IF(M346&gt;0,O346-G346,"-")</f>
        <v>1694</v>
      </c>
      <c r="R346" s="42" t="n">
        <f aca="false">IF(M346&gt;0,IFERROR(Q346/O346,"-"),"-")</f>
        <v>0.0194638815162065</v>
      </c>
      <c r="S346" s="41" t="n">
        <f aca="false">IF(M346&gt;0,ROUND(MAX(G346*1.08,O346*0.97)/100,0)*100,ROUND(G346*1.12/100,0)*100)</f>
        <v>92200</v>
      </c>
      <c r="T346" s="42" t="n">
        <f aca="false">IFERROR((S346-G346)/S346,"-")</f>
        <v>0.07441431670282</v>
      </c>
    </row>
    <row r="347" customFormat="false" ht="15" hidden="false" customHeight="false" outlineLevel="0" collapsed="false">
      <c r="A347" s="8" t="s">
        <v>2491</v>
      </c>
      <c r="B347" s="8" t="s">
        <v>2572</v>
      </c>
      <c r="C347" s="8" t="s">
        <v>2573</v>
      </c>
      <c r="D347" s="8" t="s">
        <v>44</v>
      </c>
      <c r="E347" s="8" t="n">
        <v>90000</v>
      </c>
      <c r="F347" s="38" t="n">
        <f aca="false">IFERROR(VALUE(SUBSTITUTE(SUBSTITUTE('SMARTFREN INDOFLAZ'!E16,"Rp. ",""),".","")),'SMARTFREN INDOFLAZ'!E16)</f>
        <v>90539</v>
      </c>
      <c r="G347" s="38" t="n">
        <f aca="false">IFERROR(VALUE(SUBSTITUTE(SUBSTITUTE('SMARTFREN INDOFLAZ'!F16,"Rp. ",""),".","")),'SMARTFREN INDOFLAZ'!F16)</f>
        <v>90339</v>
      </c>
      <c r="H347" s="38" t="n">
        <f aca="false">IFERROR(VALUE(SUBSTITUTE(SUBSTITUTE('SMARTFREN INDOFLAZ'!G16,"Rp. ",""),".","")),'SMARTFREN INDOFLAZ'!G16)</f>
        <v>90139</v>
      </c>
      <c r="I347" s="8" t="s">
        <v>2643</v>
      </c>
      <c r="J347" s="38" t="n">
        <f aca="false">'SMARTFREN OURASTORE'!A30</f>
        <v>92013</v>
      </c>
      <c r="K347" s="39"/>
      <c r="L347" s="39"/>
      <c r="M347" s="8" t="n">
        <f aca="false">COUNT(J347:L347)</f>
        <v>1</v>
      </c>
      <c r="N347" s="40" t="str">
        <f aca="false">IF(M347&gt;0,"Ada","Tidak Ada")</f>
        <v>Ada</v>
      </c>
      <c r="O347" s="41" t="n">
        <f aca="false">IF(M347&gt;0,MIN(J347:L347),"-")</f>
        <v>92013</v>
      </c>
      <c r="P347" s="41" t="n">
        <f aca="false">IF(M347&gt;0,AVERAGE(J347:L347),"-")</f>
        <v>92013</v>
      </c>
      <c r="Q347" s="41" t="n">
        <f aca="false">IF(M347&gt;0,O347-G347,"-")</f>
        <v>1674</v>
      </c>
      <c r="R347" s="42" t="n">
        <f aca="false">IF(M347&gt;0,IFERROR(Q347/O347,"-"),"-")</f>
        <v>0.0181930814124091</v>
      </c>
      <c r="S347" s="41" t="n">
        <f aca="false">IF(M347&gt;0,ROUND(MAX(G347*1.08,O347*0.97)/100,0)*100,ROUND(G347*1.12/100,0)*100)</f>
        <v>97600</v>
      </c>
      <c r="T347" s="42" t="n">
        <f aca="false">IFERROR((S347-G347)/S347,"-")</f>
        <v>0.0743954918032787</v>
      </c>
    </row>
    <row r="348" customFormat="false" ht="15" hidden="false" customHeight="false" outlineLevel="0" collapsed="false">
      <c r="A348" s="8" t="s">
        <v>2491</v>
      </c>
      <c r="B348" s="8" t="s">
        <v>2578</v>
      </c>
      <c r="C348" s="8" t="s">
        <v>2579</v>
      </c>
      <c r="D348" s="8" t="s">
        <v>44</v>
      </c>
      <c r="E348" s="8" t="n">
        <v>95000</v>
      </c>
      <c r="F348" s="38" t="n">
        <f aca="false">IFERROR(VALUE(SUBSTITUTE(SUBSTITUTE('SMARTFREN INDOFLAZ'!E17,"Rp. ",""),".","")),'SMARTFREN INDOFLAZ'!E17)</f>
        <v>95539</v>
      </c>
      <c r="G348" s="38" t="n">
        <f aca="false">IFERROR(VALUE(SUBSTITUTE(SUBSTITUTE('SMARTFREN INDOFLAZ'!F17,"Rp. ",""),".","")),'SMARTFREN INDOFLAZ'!F17)</f>
        <v>95339</v>
      </c>
      <c r="H348" s="38" t="n">
        <f aca="false">IFERROR(VALUE(SUBSTITUTE(SUBSTITUTE('SMARTFREN INDOFLAZ'!G17,"Rp. ",""),".","")),'SMARTFREN INDOFLAZ'!G17)</f>
        <v>95139</v>
      </c>
      <c r="I348" s="8" t="s">
        <v>2643</v>
      </c>
      <c r="J348" s="38" t="n">
        <f aca="false">'SMARTFREN OURASTORE'!A32</f>
        <v>97083</v>
      </c>
      <c r="K348" s="39"/>
      <c r="L348" s="39"/>
      <c r="M348" s="8" t="n">
        <f aca="false">COUNT(J348:L348)</f>
        <v>1</v>
      </c>
      <c r="N348" s="40" t="str">
        <f aca="false">IF(M348&gt;0,"Ada","Tidak Ada")</f>
        <v>Ada</v>
      </c>
      <c r="O348" s="41" t="n">
        <f aca="false">IF(M348&gt;0,MIN(J348:L348),"-")</f>
        <v>97083</v>
      </c>
      <c r="P348" s="41" t="n">
        <f aca="false">IF(M348&gt;0,AVERAGE(J348:L348),"-")</f>
        <v>97083</v>
      </c>
      <c r="Q348" s="41" t="n">
        <f aca="false">IF(M348&gt;0,O348-G348,"-")</f>
        <v>1744</v>
      </c>
      <c r="R348" s="42" t="n">
        <f aca="false">IF(M348&gt;0,IFERROR(Q348/O348,"-"),"-")</f>
        <v>0.017964010176859</v>
      </c>
      <c r="S348" s="41" t="n">
        <f aca="false">IF(M348&gt;0,ROUND(MAX(G348*1.08,O348*0.97)/100,0)*100,ROUND(G348*1.12/100,0)*100)</f>
        <v>103000</v>
      </c>
      <c r="T348" s="42" t="n">
        <f aca="false">IFERROR((S348-G348)/S348,"-")</f>
        <v>0.074378640776699</v>
      </c>
    </row>
    <row r="349" customFormat="false" ht="15" hidden="false" customHeight="false" outlineLevel="0" collapsed="false">
      <c r="A349" s="8" t="s">
        <v>2491</v>
      </c>
      <c r="B349" s="8" t="s">
        <v>2583</v>
      </c>
      <c r="C349" s="8" t="s">
        <v>2584</v>
      </c>
      <c r="D349" s="8" t="s">
        <v>44</v>
      </c>
      <c r="E349" s="8" t="n">
        <v>100000</v>
      </c>
      <c r="F349" s="38" t="n">
        <f aca="false">IFERROR(VALUE(SUBSTITUTE(SUBSTITUTE('SMARTFREN INDOFLAZ'!E18,"Rp. ",""),".","")),'SMARTFREN INDOFLAZ'!E18)</f>
        <v>100675</v>
      </c>
      <c r="G349" s="38" t="n">
        <f aca="false">IFERROR(VALUE(SUBSTITUTE(SUBSTITUTE('SMARTFREN INDOFLAZ'!F18,"Rp. ",""),".","")),'SMARTFREN INDOFLAZ'!F18)</f>
        <v>100475</v>
      </c>
      <c r="H349" s="38" t="n">
        <f aca="false">IFERROR(VALUE(SUBSTITUTE(SUBSTITUTE('SMARTFREN INDOFLAZ'!G18,"Rp. ",""),".","")),'SMARTFREN INDOFLAZ'!G18)</f>
        <v>100275</v>
      </c>
      <c r="I349" s="8" t="s">
        <v>2643</v>
      </c>
      <c r="J349" s="38" t="n">
        <f aca="false">'SMARTFREN OURASTORE'!A34</f>
        <v>100807</v>
      </c>
      <c r="K349" s="39"/>
      <c r="L349" s="39"/>
      <c r="M349" s="8" t="n">
        <f aca="false">COUNT(J349:L349)</f>
        <v>1</v>
      </c>
      <c r="N349" s="40" t="str">
        <f aca="false">IF(M349&gt;0,"Ada","Tidak Ada")</f>
        <v>Ada</v>
      </c>
      <c r="O349" s="41" t="n">
        <f aca="false">IF(M349&gt;0,MIN(J349:L349),"-")</f>
        <v>100807</v>
      </c>
      <c r="P349" s="41" t="n">
        <f aca="false">IF(M349&gt;0,AVERAGE(J349:L349),"-")</f>
        <v>100807</v>
      </c>
      <c r="Q349" s="41" t="n">
        <f aca="false">IF(M349&gt;0,O349-G349,"-")</f>
        <v>332</v>
      </c>
      <c r="R349" s="42" t="n">
        <f aca="false">IF(M349&gt;0,IFERROR(Q349/O349,"-"),"-")</f>
        <v>0.00329342208378386</v>
      </c>
      <c r="S349" s="41" t="n">
        <f aca="false">IF(M349&gt;0,ROUND(MAX(G349*1.08,O349*0.97)/100,0)*100,ROUND(G349*1.12/100,0)*100)</f>
        <v>108500</v>
      </c>
      <c r="T349" s="42" t="n">
        <f aca="false">IFERROR((S349-G349)/S349,"-")</f>
        <v>0.073963133640553</v>
      </c>
    </row>
    <row r="350" customFormat="false" ht="15" hidden="false" customHeight="false" outlineLevel="0" collapsed="false">
      <c r="A350" s="8" t="s">
        <v>2491</v>
      </c>
      <c r="B350" s="8" t="s">
        <v>2589</v>
      </c>
      <c r="C350" s="8" t="s">
        <v>2590</v>
      </c>
      <c r="D350" s="8" t="s">
        <v>44</v>
      </c>
      <c r="E350" s="8" t="n">
        <v>150000</v>
      </c>
      <c r="F350" s="38" t="n">
        <f aca="false">IFERROR(VALUE(SUBSTITUTE(SUBSTITUTE('SMARTFREN INDOFLAZ'!E19,"Rp. ",""),".","")),'SMARTFREN INDOFLAZ'!E19)</f>
        <v>150975</v>
      </c>
      <c r="G350" s="38" t="n">
        <f aca="false">IFERROR(VALUE(SUBSTITUTE(SUBSTITUTE('SMARTFREN INDOFLAZ'!F19,"Rp. ",""),".","")),'SMARTFREN INDOFLAZ'!F19)</f>
        <v>150775</v>
      </c>
      <c r="H350" s="38" t="n">
        <f aca="false">IFERROR(VALUE(SUBSTITUTE(SUBSTITUTE('SMARTFREN INDOFLAZ'!G19,"Rp. ",""),".","")),'SMARTFREN INDOFLAZ'!G19)</f>
        <v>150575</v>
      </c>
      <c r="I350" s="8" t="s">
        <v>2625</v>
      </c>
      <c r="J350" s="39"/>
      <c r="K350" s="39"/>
      <c r="L350" s="39"/>
      <c r="M350" s="8" t="n">
        <f aca="false">COUNT(J350:L350)</f>
        <v>0</v>
      </c>
      <c r="N350" s="40" t="str">
        <f aca="false">IF(M350&gt;0,"Ada","Tidak Ada")</f>
        <v>Tidak Ada</v>
      </c>
      <c r="O350" s="41" t="str">
        <f aca="false">IF(M350&gt;0,MIN(J350:L350),"-")</f>
        <v>-</v>
      </c>
      <c r="P350" s="41" t="str">
        <f aca="false">IF(M350&gt;0,AVERAGE(J350:L350),"-")</f>
        <v>-</v>
      </c>
      <c r="Q350" s="41" t="str">
        <f aca="false">IF(M350&gt;0,O350-G350,"-")</f>
        <v>-</v>
      </c>
      <c r="R350" s="42" t="str">
        <f aca="false">IF(M350&gt;0,IFERROR(Q350/O350,"-"),"-")</f>
        <v>-</v>
      </c>
      <c r="S350" s="41" t="n">
        <f aca="false">IF(M350&gt;0,ROUND(MAX(G350*1.08,O350*0.97)/100,0)*100,ROUND(G350*1.12/100,0)*100)</f>
        <v>168900</v>
      </c>
      <c r="T350" s="42" t="n">
        <f aca="false">IFERROR((S350-G350)/S350,"-")</f>
        <v>0.107312018946122</v>
      </c>
    </row>
    <row r="351" customFormat="false" ht="15" hidden="false" customHeight="false" outlineLevel="0" collapsed="false">
      <c r="A351" s="8" t="s">
        <v>2491</v>
      </c>
      <c r="B351" s="8" t="s">
        <v>2595</v>
      </c>
      <c r="C351" s="8" t="s">
        <v>2596</v>
      </c>
      <c r="D351" s="8" t="s">
        <v>44</v>
      </c>
      <c r="E351" s="8" t="n">
        <v>1000000</v>
      </c>
      <c r="F351" s="38" t="n">
        <f aca="false">IFERROR(VALUE(SUBSTITUTE(SUBSTITUTE('SMARTFREN INDOFLAZ'!E20,"Rp. ",""),".","")),'SMARTFREN INDOFLAZ'!E20)</f>
        <v>996525</v>
      </c>
      <c r="G351" s="38" t="n">
        <f aca="false">IFERROR(VALUE(SUBSTITUTE(SUBSTITUTE('SMARTFREN INDOFLAZ'!F20,"Rp. ",""),".","")),'SMARTFREN INDOFLAZ'!F20)</f>
        <v>996325</v>
      </c>
      <c r="H351" s="38" t="n">
        <f aca="false">IFERROR(VALUE(SUBSTITUTE(SUBSTITUTE('SMARTFREN INDOFLAZ'!G20,"Rp. ",""),".","")),'SMARTFREN INDOFLAZ'!G20)</f>
        <v>996125</v>
      </c>
      <c r="I351" s="8" t="s">
        <v>2625</v>
      </c>
      <c r="J351" s="39"/>
      <c r="K351" s="39"/>
      <c r="L351" s="39"/>
      <c r="M351" s="8" t="n">
        <f aca="false">COUNT(J351:L351)</f>
        <v>0</v>
      </c>
      <c r="N351" s="40" t="str">
        <f aca="false">IF(M351&gt;0,"Ada","Tidak Ada")</f>
        <v>Tidak Ada</v>
      </c>
      <c r="O351" s="41" t="str">
        <f aca="false">IF(M351&gt;0,MIN(J351:L351),"-")</f>
        <v>-</v>
      </c>
      <c r="P351" s="41" t="str">
        <f aca="false">IF(M351&gt;0,AVERAGE(J351:L351),"-")</f>
        <v>-</v>
      </c>
      <c r="Q351" s="41" t="str">
        <f aca="false">IF(M351&gt;0,O351-G351,"-")</f>
        <v>-</v>
      </c>
      <c r="R351" s="42" t="str">
        <f aca="false">IF(M351&gt;0,IFERROR(Q351/O351,"-"),"-")</f>
        <v>-</v>
      </c>
      <c r="S351" s="41" t="n">
        <f aca="false">IF(M351&gt;0,ROUND(MAX(G351*1.08,O351*0.97)/100,0)*100,ROUND(G351*1.12/100,0)*100)</f>
        <v>1115900</v>
      </c>
      <c r="T351" s="42" t="n">
        <f aca="false">IFERROR((S351-G351)/S351,"-")</f>
        <v>0.107155659109239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10" min="3" style="0" width="12"/>
  </cols>
  <sheetData>
    <row r="2" customFormat="false" ht="17.35" hidden="false" customHeight="false" outlineLevel="0" collapsed="false">
      <c r="B2" s="43" t="s">
        <v>2644</v>
      </c>
    </row>
    <row r="4" customFormat="false" ht="15" hidden="false" customHeight="false" outlineLevel="0" collapsed="false">
      <c r="B4" s="44"/>
      <c r="C4" s="44"/>
      <c r="D4" s="44"/>
      <c r="E4" s="44"/>
      <c r="F4" s="44"/>
      <c r="G4" s="44"/>
      <c r="H4" s="44"/>
      <c r="I4" s="44"/>
      <c r="J4" s="44"/>
    </row>
    <row r="5" customFormat="false" ht="15" hidden="false" customHeight="false" outlineLevel="0" collapsed="false">
      <c r="B5" s="45" t="s">
        <v>2645</v>
      </c>
      <c r="C5" s="45"/>
      <c r="D5" s="45"/>
      <c r="E5" s="45"/>
      <c r="F5" s="45"/>
      <c r="G5" s="45"/>
      <c r="H5" s="45"/>
      <c r="I5" s="45"/>
      <c r="J5" s="45"/>
    </row>
    <row r="6" customFormat="false" ht="15" hidden="false" customHeight="false" outlineLevel="0" collapsed="false">
      <c r="B6" s="44" t="s">
        <v>2646</v>
      </c>
      <c r="C6" s="44"/>
      <c r="D6" s="44"/>
      <c r="E6" s="44"/>
      <c r="F6" s="44"/>
      <c r="G6" s="44"/>
      <c r="H6" s="44"/>
      <c r="I6" s="44"/>
      <c r="J6" s="44"/>
    </row>
    <row r="7" customFormat="false" ht="15" hidden="false" customHeight="false" outlineLevel="0" collapsed="false">
      <c r="B7" s="44" t="s">
        <v>2647</v>
      </c>
      <c r="C7" s="44"/>
      <c r="D7" s="44"/>
      <c r="E7" s="44"/>
      <c r="F7" s="44"/>
      <c r="G7" s="44"/>
      <c r="H7" s="44"/>
      <c r="I7" s="44"/>
      <c r="J7" s="44"/>
    </row>
    <row r="8" customFormat="false" ht="15" hidden="false" customHeight="false" outlineLevel="0" collapsed="false">
      <c r="B8" s="44" t="s">
        <v>2648</v>
      </c>
      <c r="C8" s="44"/>
      <c r="D8" s="44"/>
      <c r="E8" s="44"/>
      <c r="F8" s="44"/>
      <c r="G8" s="44"/>
      <c r="H8" s="44"/>
      <c r="I8" s="44"/>
      <c r="J8" s="44"/>
    </row>
    <row r="9" customFormat="false" ht="15" hidden="false" customHeight="false" outlineLevel="0" collapsed="false">
      <c r="B9" s="44"/>
      <c r="C9" s="44"/>
      <c r="D9" s="44"/>
      <c r="E9" s="44"/>
      <c r="F9" s="44"/>
      <c r="G9" s="44"/>
      <c r="H9" s="44"/>
      <c r="I9" s="44"/>
      <c r="J9" s="44"/>
    </row>
    <row r="10" customFormat="false" ht="15" hidden="false" customHeight="false" outlineLevel="0" collapsed="false">
      <c r="B10" s="45" t="s">
        <v>2649</v>
      </c>
      <c r="C10" s="45"/>
      <c r="D10" s="45"/>
      <c r="E10" s="45"/>
      <c r="F10" s="45"/>
      <c r="G10" s="45"/>
      <c r="H10" s="45"/>
      <c r="I10" s="45"/>
      <c r="J10" s="45"/>
    </row>
    <row r="11" customFormat="false" ht="15" hidden="false" customHeight="false" outlineLevel="0" collapsed="false">
      <c r="B11" s="44" t="s">
        <v>2650</v>
      </c>
      <c r="C11" s="44"/>
      <c r="D11" s="44"/>
      <c r="E11" s="44"/>
      <c r="F11" s="44"/>
      <c r="G11" s="44"/>
      <c r="H11" s="44"/>
      <c r="I11" s="44"/>
      <c r="J11" s="44"/>
    </row>
    <row r="12" customFormat="false" ht="15" hidden="false" customHeight="false" outlineLevel="0" collapsed="false">
      <c r="B12" s="44" t="s">
        <v>2651</v>
      </c>
      <c r="C12" s="44"/>
      <c r="D12" s="44"/>
      <c r="E12" s="44"/>
      <c r="F12" s="44"/>
      <c r="G12" s="44"/>
      <c r="H12" s="44"/>
      <c r="I12" s="44"/>
      <c r="J12" s="44"/>
    </row>
    <row r="13" customFormat="false" ht="15" hidden="false" customHeight="false" outlineLevel="0" collapsed="false">
      <c r="B13" s="44" t="s">
        <v>2652</v>
      </c>
      <c r="C13" s="44"/>
      <c r="D13" s="44"/>
      <c r="E13" s="44"/>
      <c r="F13" s="44"/>
      <c r="G13" s="44"/>
      <c r="H13" s="44"/>
      <c r="I13" s="44"/>
      <c r="J13" s="44"/>
    </row>
    <row r="14" customFormat="false" ht="15" hidden="false" customHeight="false" outlineLevel="0" collapsed="false">
      <c r="B14" s="44" t="s">
        <v>2653</v>
      </c>
      <c r="C14" s="44"/>
      <c r="D14" s="44"/>
      <c r="E14" s="44"/>
      <c r="F14" s="44"/>
      <c r="G14" s="44"/>
      <c r="H14" s="44"/>
      <c r="I14" s="44"/>
      <c r="J14" s="44"/>
    </row>
    <row r="15" customFormat="false" ht="15" hidden="false" customHeight="false" outlineLevel="0" collapsed="false">
      <c r="B15" s="44"/>
      <c r="C15" s="44"/>
      <c r="D15" s="44"/>
      <c r="E15" s="44"/>
      <c r="F15" s="44"/>
      <c r="G15" s="44"/>
      <c r="H15" s="44"/>
      <c r="I15" s="44"/>
      <c r="J15" s="44"/>
    </row>
    <row r="16" customFormat="false" ht="15" hidden="false" customHeight="false" outlineLevel="0" collapsed="false">
      <c r="B16" s="45" t="s">
        <v>2654</v>
      </c>
      <c r="C16" s="45"/>
      <c r="D16" s="45"/>
      <c r="E16" s="45"/>
      <c r="F16" s="45"/>
      <c r="G16" s="45"/>
      <c r="H16" s="45"/>
      <c r="I16" s="45"/>
      <c r="J16" s="45"/>
    </row>
    <row r="17" customFormat="false" ht="15" hidden="false" customHeight="false" outlineLevel="0" collapsed="false">
      <c r="B17" s="44" t="s">
        <v>2655</v>
      </c>
      <c r="C17" s="44"/>
      <c r="D17" s="44"/>
      <c r="E17" s="44"/>
      <c r="F17" s="44"/>
      <c r="G17" s="44"/>
      <c r="H17" s="44"/>
      <c r="I17" s="44"/>
      <c r="J17" s="44"/>
    </row>
    <row r="18" customFormat="false" ht="15" hidden="false" customHeight="false" outlineLevel="0" collapsed="false">
      <c r="B18" s="44" t="s">
        <v>2656</v>
      </c>
      <c r="C18" s="44"/>
      <c r="D18" s="44"/>
      <c r="E18" s="44"/>
      <c r="F18" s="44"/>
      <c r="G18" s="44"/>
      <c r="H18" s="44"/>
      <c r="I18" s="44"/>
      <c r="J18" s="44"/>
    </row>
    <row r="19" customFormat="false" ht="15" hidden="false" customHeight="false" outlineLevel="0" collapsed="false">
      <c r="B19" s="44" t="s">
        <v>2657</v>
      </c>
      <c r="C19" s="44"/>
      <c r="D19" s="44"/>
      <c r="E19" s="44"/>
      <c r="F19" s="44"/>
      <c r="G19" s="44"/>
      <c r="H19" s="44"/>
      <c r="I19" s="44"/>
      <c r="J19" s="44"/>
    </row>
    <row r="20" customFormat="false" ht="15" hidden="false" customHeight="false" outlineLevel="0" collapsed="false">
      <c r="B20" s="44" t="s">
        <v>2658</v>
      </c>
      <c r="C20" s="44"/>
      <c r="D20" s="44"/>
      <c r="E20" s="44"/>
      <c r="F20" s="44"/>
      <c r="G20" s="44"/>
      <c r="H20" s="44"/>
      <c r="I20" s="44"/>
      <c r="J20" s="44"/>
    </row>
    <row r="21" customFormat="false" ht="15" hidden="false" customHeight="false" outlineLevel="0" collapsed="false">
      <c r="B21" s="44"/>
      <c r="C21" s="44"/>
      <c r="D21" s="44"/>
      <c r="E21" s="44"/>
      <c r="F21" s="44"/>
      <c r="G21" s="44"/>
      <c r="H21" s="44"/>
      <c r="I21" s="44"/>
      <c r="J21" s="44"/>
    </row>
    <row r="22" customFormat="false" ht="15" hidden="false" customHeight="false" outlineLevel="0" collapsed="false">
      <c r="B22" s="45" t="s">
        <v>2659</v>
      </c>
      <c r="C22" s="45"/>
      <c r="D22" s="45"/>
      <c r="E22" s="45"/>
      <c r="F22" s="45"/>
      <c r="G22" s="45"/>
      <c r="H22" s="45"/>
      <c r="I22" s="45"/>
      <c r="J22" s="45"/>
    </row>
    <row r="23" customFormat="false" ht="15" hidden="false" customHeight="false" outlineLevel="0" collapsed="false">
      <c r="B23" s="44" t="s">
        <v>2660</v>
      </c>
      <c r="C23" s="44"/>
      <c r="D23" s="44"/>
      <c r="E23" s="44"/>
      <c r="F23" s="44"/>
      <c r="G23" s="44"/>
      <c r="H23" s="44"/>
      <c r="I23" s="44"/>
      <c r="J23" s="44"/>
    </row>
    <row r="24" customFormat="false" ht="15" hidden="false" customHeight="false" outlineLevel="0" collapsed="false">
      <c r="B24" s="44" t="s">
        <v>2661</v>
      </c>
      <c r="C24" s="44"/>
      <c r="D24" s="44"/>
      <c r="E24" s="44"/>
      <c r="F24" s="44"/>
      <c r="G24" s="44"/>
      <c r="H24" s="44"/>
      <c r="I24" s="44"/>
      <c r="J24" s="44"/>
    </row>
    <row r="25" customFormat="false" ht="15" hidden="false" customHeight="false" outlineLevel="0" collapsed="false">
      <c r="B25" s="44" t="s">
        <v>2662</v>
      </c>
      <c r="C25" s="44"/>
      <c r="D25" s="44"/>
      <c r="E25" s="44"/>
      <c r="F25" s="44"/>
      <c r="G25" s="44"/>
      <c r="H25" s="44"/>
      <c r="I25" s="44"/>
      <c r="J25" s="44"/>
    </row>
    <row r="26" customFormat="false" ht="15" hidden="false" customHeight="false" outlineLevel="0" collapsed="false">
      <c r="B26" s="44"/>
      <c r="C26" s="44"/>
      <c r="D26" s="44"/>
      <c r="E26" s="44"/>
      <c r="F26" s="44"/>
      <c r="G26" s="44"/>
      <c r="H26" s="44"/>
      <c r="I26" s="44"/>
      <c r="J26" s="44"/>
    </row>
    <row r="27" customFormat="false" ht="15" hidden="false" customHeight="false" outlineLevel="0" collapsed="false">
      <c r="B27" s="44" t="s">
        <v>2663</v>
      </c>
      <c r="C27" s="44"/>
      <c r="D27" s="44"/>
      <c r="E27" s="44"/>
      <c r="F27" s="44"/>
      <c r="G27" s="44"/>
      <c r="H27" s="44"/>
      <c r="I27" s="44"/>
      <c r="J27" s="44"/>
    </row>
  </sheetData>
  <mergeCells count="24"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2026-07-17T14:31:22Z</dcterms:created>
  <dc:creator>openpyxl</dc:creator>
  <dc:description/>
  <dc:language>en-US</dc:language>
  <cp:lastModifiedBy/>
  <dcterms:modified xsi:type="dcterms:W3CDTF">2026-07-17T14:31:23Z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